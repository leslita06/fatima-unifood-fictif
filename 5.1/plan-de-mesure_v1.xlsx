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mesure" sheetId="1" state="visible" r:id="rId1"/>
    <sheet xmlns:r="http://schemas.openxmlformats.org/officeDocument/2006/relationships" name="Objectif et suivi" sheetId="2" state="visible" r:id="rId2"/>
    <sheet xmlns:r="http://schemas.openxmlformats.org/officeDocument/2006/relationships"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  <font>
      <i val="1"/>
      <color rgb="007A5C66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2" customWidth="1" min="4" max="4"/>
    <col width="24" customWidth="1" min="5" max="5"/>
    <col width="28" customWidth="1" min="6" max="6"/>
    <col width="14" customWidth="1" min="7" max="7"/>
    <col width="28" customWidth="1" min="8" max="8"/>
    <col width="40" customWidth="1" min="9" max="9"/>
    <col width="20" customWidth="1" min="10" max="10"/>
    <col width="13" customWidth="1" min="11" max="11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Plan de mesure : campagne UNI-2026-Q4 Rio Pop Fêtes 2026 (FICTIF)</t>
        </is>
      </c>
      <c r="K2">
        <f>IMAGE("https://raw.githubusercontent.com/leslita06/fatima-unifood-fictif/main/assets/Logo_unifood.png")</f>
        <v/>
      </c>
    </row>
    <row r="4">
      <c r="A4" s="3" t="inlineStr">
        <is>
          <t>Action</t>
        </is>
      </c>
      <c r="B4" s="3" t="inlineStr">
        <is>
          <t>Étage</t>
        </is>
      </c>
      <c r="C4" s="3" t="inlineStr">
        <is>
          <t>Exposition</t>
        </is>
      </c>
      <c r="D4" s="3" t="inlineStr">
        <is>
          <t>Intérêt</t>
        </is>
      </c>
      <c r="E4" s="3" t="inlineStr">
        <is>
          <t>Résultat</t>
        </is>
      </c>
      <c r="F4" s="3" t="inlineStr">
        <is>
          <t>Instrumentation</t>
        </is>
      </c>
      <c r="G4" s="3" t="inlineStr">
        <is>
          <t>Fréquence</t>
        </is>
      </c>
      <c r="H4" s="3" t="inlineStr">
        <is>
          <t>Seuil ou période de référence</t>
        </is>
      </c>
      <c r="I4" s="3" t="inlineStr">
        <is>
          <t>Décision si le seuil est franchi</t>
        </is>
      </c>
      <c r="J4" s="3" t="inlineStr">
        <is>
          <t>Responsable</t>
        </is>
      </c>
    </row>
    <row r="5">
      <c r="A5" s="4" t="inlineStr">
        <is>
          <t>Facebook et Instagram Ads</t>
        </is>
      </c>
      <c r="B5" s="4" t="inlineStr">
        <is>
          <t>Se faire connaître</t>
        </is>
      </c>
      <c r="C5" s="4" t="inlineStr">
        <is>
          <t>portée, coût pour 1 000</t>
        </is>
      </c>
      <c r="D5" s="4" t="inlineStr">
        <is>
          <t>clics vers WhatsApp</t>
        </is>
      </c>
      <c r="E5" s="4" t="inlineStr">
        <is>
          <t>non attribuable seul</t>
        </is>
      </c>
      <c r="F5" s="4" t="inlineStr">
        <is>
          <t>Meta Ads Manager, UTM</t>
        </is>
      </c>
      <c r="G5" s="4" t="inlineStr">
        <is>
          <t>chaque lundi</t>
        </is>
      </c>
      <c r="H5" s="4" t="inlineStr">
        <is>
          <t>période de référence 02/11 au 15/11</t>
        </is>
      </c>
      <c r="I5" s="4" t="inlineStr">
        <is>
          <t>coût pour 1 000 au-dessus de la référence de +30 % : changer de visuel</t>
        </is>
      </c>
      <c r="J5" s="4" t="inlineStr">
        <is>
          <t>Prisca Yao (FICTIF)</t>
        </is>
      </c>
    </row>
    <row r="6">
      <c r="A6" s="5" t="inlineStr">
        <is>
          <t>TikTok Rio Pop</t>
        </is>
      </c>
      <c r="B6" s="5" t="inlineStr">
        <is>
          <t>Se faire connaître</t>
        </is>
      </c>
      <c r="C6" s="5" t="inlineStr">
        <is>
          <t>vues</t>
        </is>
      </c>
      <c r="D6" s="5" t="inlineStr">
        <is>
          <t>abonnés gagnés</t>
        </is>
      </c>
      <c r="E6" s="5" t="inlineStr">
        <is>
          <t>non attribuable seul</t>
        </is>
      </c>
      <c r="F6" s="5" t="inlineStr">
        <is>
          <t>TikTok Ads, compte 13+</t>
        </is>
      </c>
      <c r="G6" s="5" t="inlineStr">
        <is>
          <t>chaque lundi</t>
        </is>
      </c>
      <c r="H6" s="5" t="inlineStr">
        <is>
          <t>période de référence 02/11 au 15/11</t>
        </is>
      </c>
      <c r="I6" s="5" t="inlineStr">
        <is>
          <t>vues par vidéo en baisse 2 semaines : changer de format</t>
        </is>
      </c>
      <c r="J6" s="5" t="inlineStr">
        <is>
          <t>Prisca Yao (FICTIF)</t>
        </is>
      </c>
    </row>
    <row r="7">
      <c r="A7" s="4" t="inlineStr">
        <is>
          <t>Radio Nostalgie, Radio JAM</t>
        </is>
      </c>
      <c r="B7" s="4" t="inlineStr">
        <is>
          <t>Se faire connaître</t>
        </is>
      </c>
      <c r="C7" s="4" t="inlineStr">
        <is>
          <t>passages diffusés</t>
        </is>
      </c>
      <c r="D7" s="4" t="inlineStr">
        <is>
          <t>réponses « entendu à la radio »</t>
        </is>
      </c>
      <c r="E7" s="4" t="inlineStr">
        <is>
          <t>non attribuable seul</t>
        </is>
      </c>
      <c r="F7" s="4" t="inlineStr">
        <is>
          <t>attestation de diffusion, question des commerciaux</t>
        </is>
      </c>
      <c r="G7" s="4" t="inlineStr">
        <is>
          <t>chaque vague</t>
        </is>
      </c>
      <c r="H7" s="4" t="inlineStr">
        <is>
          <t>passages = ordre d'insertion</t>
        </is>
      </c>
      <c r="I7" s="4" t="inlineStr">
        <is>
          <t>écart de passages : réclamer compensation</t>
        </is>
      </c>
      <c r="J7" s="4" t="inlineStr">
        <is>
          <t>Médiaplus Abidjan (FICTIF)</t>
        </is>
      </c>
    </row>
    <row r="8">
      <c r="A8" s="5" t="inlineStr">
        <is>
          <t>WhatsApp trade</t>
        </is>
      </c>
      <c r="B8" s="5" t="inlineStr">
        <is>
          <t>Faire considérer</t>
        </is>
      </c>
      <c r="C8" s="5" t="inlineStr">
        <is>
          <t>messages envoyés</t>
        </is>
      </c>
      <c r="D8" s="5" t="inlineStr">
        <is>
          <t>conversations ouvertes</t>
        </is>
      </c>
      <c r="E8" s="5" t="inlineStr">
        <is>
          <t>commandes reçues</t>
        </is>
      </c>
      <c r="F8" s="5" t="inlineStr">
        <is>
          <t>numéro dédié ⟦à créer⟧</t>
        </is>
      </c>
      <c r="G8" s="5" t="inlineStr">
        <is>
          <t>chaque lundi</t>
        </is>
      </c>
      <c r="H8" s="5" t="inlineStr">
        <is>
          <t>0 commande après 2 semaines</t>
        </is>
      </c>
      <c r="I8" s="5" t="inlineStr">
        <is>
          <t>basculer 1 000 000 FCFA d'Ads vers le terrain</t>
        </is>
      </c>
      <c r="J8" s="5" t="inlineStr">
        <is>
          <t>Hervé Gnagne (FICTIF)</t>
        </is>
      </c>
    </row>
    <row r="9">
      <c r="A9" s="4" t="inlineStr">
        <is>
          <t>Kakémonos points de vente</t>
        </is>
      </c>
      <c r="B9" s="4" t="inlineStr">
        <is>
          <t>Faire acheter</t>
        </is>
      </c>
      <c r="C9" s="4" t="inlineStr">
        <is>
          <t>points équipés</t>
        </is>
      </c>
      <c r="D9" s="4" t="inlineStr">
        <is>
          <t>scans du QR code</t>
        </is>
      </c>
      <c r="E9" s="4" t="inlineStr">
        <is>
          <t>commandes des points équipés</t>
        </is>
      </c>
      <c r="F9" s="4" t="inlineStr">
        <is>
          <t>QR par ville, photos datées</t>
        </is>
      </c>
      <c r="G9" s="4" t="inlineStr">
        <is>
          <t>chaque quinzaine</t>
        </is>
      </c>
      <c r="H9" s="4" t="inlineStr">
        <is>
          <t>objectif points équipés ⟦à renseigner⟧</t>
        </is>
      </c>
      <c r="I9" s="4" t="inlineStr">
        <is>
          <t>moins de 80 % posés au 16/11 : relancer l'équipe de pose</t>
        </is>
      </c>
      <c r="J9" s="4" t="inlineStr">
        <is>
          <t>Hervé Gnagne (FICTIF)</t>
        </is>
      </c>
    </row>
    <row r="10">
      <c r="A10" s="5" t="inlineStr">
        <is>
          <t>Animations marchés</t>
        </is>
      </c>
      <c r="B10" s="5" t="inlineStr">
        <is>
          <t>Faire acheter</t>
        </is>
      </c>
      <c r="C10" s="5" t="inlineStr">
        <is>
          <t>visiteurs du stand</t>
        </is>
      </c>
      <c r="D10" s="5" t="inlineStr">
        <is>
          <t>demi-grossistes contactés</t>
        </is>
      </c>
      <c r="E10" s="5" t="inlineStr">
        <is>
          <t>sachets vendus (code UNI-2026-Q4)</t>
        </is>
      </c>
      <c r="F10" s="5" t="inlineStr">
        <is>
          <t>bons de commande codés</t>
        </is>
      </c>
      <c r="G10" s="5" t="inlineStr">
        <is>
          <t>après chaque animation</t>
        </is>
      </c>
      <c r="H10" s="5" t="inlineStr">
        <is>
          <t>période de référence : Adjamé</t>
        </is>
      </c>
      <c r="I10" s="5" t="inlineStr">
        <is>
          <t>ventes Treichville sous Adjamé de -50 % : revoir le lieu</t>
        </is>
      </c>
      <c r="J10" s="5" t="inlineStr">
        <is>
          <t>Djénéba (Yelema)</t>
        </is>
      </c>
    </row>
    <row r="11">
      <c r="A11" s="4" t="inlineStr">
        <is>
          <t>Toute la campagne</t>
        </is>
      </c>
      <c r="B11" s="4" t="inlineStr">
        <is>
          <t>Résultat</t>
        </is>
      </c>
      <c r="C11" s="4" t="inlineStr"/>
      <c r="D11" s="4" t="inlineStr"/>
      <c r="E11" s="4" t="inlineStr">
        <is>
          <t>sachets vendus aux grossistes</t>
        </is>
      </c>
      <c r="F11" s="4" t="inlineStr">
        <is>
          <t>ventes direction commerciale</t>
        </is>
      </c>
      <c r="G11" s="4" t="inlineStr">
        <is>
          <t>chaque fin de mois</t>
        </is>
      </c>
      <c r="H11" s="4" t="inlineStr">
        <is>
          <t>objectif 45 920 sachets (FICTIF)</t>
        </is>
      </c>
      <c r="I11" s="4" t="inlineStr">
        <is>
          <t>plus de 50 % fin novembre : débloquer la réserve radio</t>
        </is>
      </c>
      <c r="J11" s="4" t="inlineStr">
        <is>
          <t>Mariam Koné (FICTIF)</t>
        </is>
      </c>
    </row>
    <row r="13">
      <c r="A13" s="6" t="inlineStr">
        <is>
          <t>Ce qu'on ne sait pas encore mesurer : la part de la radio et des Ads dans les ventes en boutique (aucun lien direct). On lit la tendance, on n'attribue pas au dernier canal vu.</t>
        </is>
      </c>
    </row>
    <row r="14">
      <c r="A14" s="6" t="inlineStr">
        <is>
          <t>Indicateur écarté : « mentions j'aime » (ne déclenche aucune décision).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  <col width="13" customWidth="1" min="8" max="8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Objectif commercial et suivi mensuel (FICTIF)</t>
        </is>
      </c>
      <c r="H2">
        <f>IMAGE("https://raw.githubusercontent.com/leslita06/fatima-unifood-fictif/main/assets/Logo_unifood.png")</f>
        <v/>
      </c>
    </row>
    <row r="4">
      <c r="A4" s="3" t="inlineStr">
        <is>
          <t>Indicateur</t>
        </is>
      </c>
      <c r="B4" s="3" t="inlineStr">
        <is>
          <t>Base nov.-déc. 2025 (FICTIF)</t>
        </is>
      </c>
      <c r="C4" s="3" t="inlineStr">
        <is>
          <t>Objectif (FICTIF)</t>
        </is>
      </c>
      <c r="D4" s="3" t="inlineStr">
        <is>
          <t>Réel novembre</t>
        </is>
      </c>
      <c r="E4" s="3" t="inlineStr">
        <is>
          <t>Réel décembre</t>
        </is>
      </c>
      <c r="F4" s="3" t="inlineStr">
        <is>
          <t>Cumul</t>
        </is>
      </c>
      <c r="G4" s="3" t="inlineStr">
        <is>
          <t>Atteinte</t>
        </is>
      </c>
    </row>
    <row r="5">
      <c r="A5" s="4" t="inlineStr">
        <is>
          <t>Sachets Rio Pop 48 pièces vendus aux grossistes</t>
        </is>
      </c>
      <c r="B5" s="7" t="n">
        <v>41000</v>
      </c>
      <c r="C5" s="7">
        <f>B5*1.12</f>
        <v/>
      </c>
      <c r="D5" s="7" t="inlineStr"/>
      <c r="E5" s="7" t="inlineStr"/>
      <c r="F5" s="7">
        <f>D5+E5</f>
        <v/>
      </c>
      <c r="G5" s="8">
        <f>F5/C5</f>
        <v/>
      </c>
    </row>
    <row r="6">
      <c r="A6" s="5" t="inlineStr">
        <is>
          <t>Chiffre d'affaires gros FCFA (2 500 F le sachet, FICTIF)</t>
        </is>
      </c>
      <c r="B6" s="9">
        <f>B5*2500</f>
        <v/>
      </c>
      <c r="C6" s="9">
        <f>C5*2500</f>
        <v/>
      </c>
      <c r="D6" s="9">
        <f>D5*2500</f>
        <v/>
      </c>
      <c r="E6" s="9">
        <f>E5*2500</f>
        <v/>
      </c>
      <c r="F6" s="9">
        <f>F5*2500</f>
        <v/>
      </c>
      <c r="G6" s="10">
        <f>F6/C6</f>
        <v/>
      </c>
    </row>
    <row r="8">
      <c r="A8" s="6" t="inlineStr">
        <is>
          <t>Réel à saisir par la direction commerciale à chaque fin de mois.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3" customWidth="1" min="7" max="7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Budget de campagne (FICTIF) : prévu, engagé, payé</t>
        </is>
      </c>
      <c r="G2">
        <f>IMAGE("https://raw.githubusercontent.com/leslita06/fatima-unifood-fictif/main/assets/Logo_unifood.png")</f>
        <v/>
      </c>
    </row>
    <row r="4">
      <c r="A4" s="3" t="inlineStr">
        <is>
          <t>Poste</t>
        </is>
      </c>
      <c r="B4" s="3" t="inlineStr">
        <is>
          <t>Prévu FCFA TTC</t>
        </is>
      </c>
      <c r="C4" s="3" t="inlineStr">
        <is>
          <t>Engagé</t>
        </is>
      </c>
      <c r="D4" s="3" t="inlineStr">
        <is>
          <t>Payé</t>
        </is>
      </c>
      <c r="E4" s="3" t="inlineStr">
        <is>
          <t>Reste à payer</t>
        </is>
      </c>
      <c r="F4" s="3" t="inlineStr">
        <is>
          <t>Part du budget</t>
        </is>
      </c>
    </row>
    <row r="5">
      <c r="A5" s="4" t="inlineStr">
        <is>
          <t>Facebook et Instagram Ads</t>
        </is>
      </c>
      <c r="B5" s="7" t="n">
        <v>9000000</v>
      </c>
      <c r="C5" s="7" t="n">
        <v>0</v>
      </c>
      <c r="D5" s="7" t="n">
        <v>0</v>
      </c>
      <c r="E5" s="7">
        <f>C5-D5</f>
        <v/>
      </c>
      <c r="F5" s="8">
        <f>B5/B$12</f>
        <v/>
      </c>
    </row>
    <row r="6">
      <c r="A6" s="5" t="inlineStr">
        <is>
          <t>TikTok</t>
        </is>
      </c>
      <c r="B6" s="9" t="n">
        <v>5000000</v>
      </c>
      <c r="C6" s="9" t="n">
        <v>0</v>
      </c>
      <c r="D6" s="9" t="n">
        <v>0</v>
      </c>
      <c r="E6" s="9">
        <f>C6-D6</f>
        <v/>
      </c>
      <c r="F6" s="10">
        <f>B6/B$12</f>
        <v/>
      </c>
    </row>
    <row r="7">
      <c r="A7" s="4" t="inlineStr">
        <is>
          <t>Radio</t>
        </is>
      </c>
      <c r="B7" s="7" t="n">
        <v>7000000</v>
      </c>
      <c r="C7" s="7" t="n">
        <v>0</v>
      </c>
      <c r="D7" s="7" t="n">
        <v>0</v>
      </c>
      <c r="E7" s="7">
        <f>C7-D7</f>
        <v/>
      </c>
      <c r="F7" s="8">
        <f>B7/B$12</f>
        <v/>
      </c>
    </row>
    <row r="8">
      <c r="A8" s="5" t="inlineStr">
        <is>
          <t>Affichage, kakémonos</t>
        </is>
      </c>
      <c r="B8" s="9" t="n">
        <v>6000000</v>
      </c>
      <c r="C8" s="9" t="n">
        <v>0</v>
      </c>
      <c r="D8" s="9" t="n">
        <v>0</v>
      </c>
      <c r="E8" s="9">
        <f>C8-D8</f>
        <v/>
      </c>
      <c r="F8" s="10">
        <f>B8/B$12</f>
        <v/>
      </c>
    </row>
    <row r="9">
      <c r="A9" s="4" t="inlineStr">
        <is>
          <t>Animation terrain</t>
        </is>
      </c>
      <c r="B9" s="7" t="n">
        <v>6000000</v>
      </c>
      <c r="C9" s="7" t="n">
        <v>0</v>
      </c>
      <c r="D9" s="7" t="n">
        <v>0</v>
      </c>
      <c r="E9" s="7">
        <f>C9-D9</f>
        <v/>
      </c>
      <c r="F9" s="8">
        <f>B9/B$12</f>
        <v/>
      </c>
    </row>
    <row r="10">
      <c r="A10" s="5" t="inlineStr">
        <is>
          <t>Production contenus</t>
        </is>
      </c>
      <c r="B10" s="9" t="n">
        <v>3000000</v>
      </c>
      <c r="C10" s="9" t="n">
        <v>0</v>
      </c>
      <c r="D10" s="9" t="n">
        <v>0</v>
      </c>
      <c r="E10" s="9">
        <f>C10-D10</f>
        <v/>
      </c>
      <c r="F10" s="10">
        <f>B10/B$12</f>
        <v/>
      </c>
    </row>
    <row r="11">
      <c r="A11" s="4" t="inlineStr">
        <is>
          <t>Réserve</t>
        </is>
      </c>
      <c r="B11" s="7" t="n">
        <v>2000000</v>
      </c>
      <c r="C11" s="7" t="n">
        <v>0</v>
      </c>
      <c r="D11" s="7" t="n">
        <v>0</v>
      </c>
      <c r="E11" s="7">
        <f>C11-D11</f>
        <v/>
      </c>
      <c r="F11" s="8">
        <f>B11/B$12</f>
        <v/>
      </c>
    </row>
    <row r="12">
      <c r="A12" s="5" t="inlineStr">
        <is>
          <t>Total</t>
        </is>
      </c>
      <c r="B12" s="9">
        <f>SUM(B5:B11)</f>
        <v/>
      </c>
      <c r="C12" s="9">
        <f>SUM(C5:C11)</f>
        <v/>
      </c>
      <c r="D12" s="9">
        <f>SUM(D5:D11)</f>
        <v/>
      </c>
      <c r="E12" s="9">
        <f>SUM(E5:E11)</f>
        <v/>
      </c>
      <c r="F12" s="10">
        <f>B12/B12</f>
        <v/>
      </c>
    </row>
    <row r="14">
      <c r="A14" s="6" t="inlineStr">
        <is>
          <t>Rien n'est engagé : colonnes Engagé et Payé à 0 tant que la direction n'a pas validé.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2026-10-16T10:56:47Z</dcterms:created>
  <dcterms:modified xmlns:dcterms="http://purl.org/dc/terms/" xmlns:xsi="http://www.w3.org/2001/XMLSchema-instance" xsi:type="dcterms:W3CDTF">2026-10-16T10:56:47Z</dcterms:modified>
</cp:coreProperties>
</file>