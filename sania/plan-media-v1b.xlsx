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partition" sheetId="1" state="visible" r:id="rId1"/>
    <sheet xmlns:r="http://schemas.openxmlformats.org/officeDocument/2006/relationships" name="Calendrier" sheetId="2" state="visible" r:id="rId2"/>
    <sheet xmlns:r="http://schemas.openxmlformats.org/officeDocument/2006/relationships" name="Radios" sheetId="3" state="visible" r:id="rId3"/>
    <sheet xmlns:r="http://schemas.openxmlformats.org/officeDocument/2006/relationships" name="Terrain" sheetId="4" state="visible" r:id="rId4"/>
    <sheet xmlns:r="http://schemas.openxmlformats.org/officeDocument/2006/relationships" name="Tableau de bo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F&quot;"/>
    <numFmt numFmtId="165" formatCode="0.0%"/>
  </numFmts>
  <fonts count="11">
    <font>
      <name val="Calibri"/>
      <family val="2"/>
      <color theme="1"/>
      <sz val="11"/>
      <scheme val="minor"/>
    </font>
    <font>
      <name val="Poppins"/>
      <b val="1"/>
      <color rgb="00E81820"/>
      <sz val="15"/>
    </font>
    <font>
      <name val="Poppins"/>
      <i val="1"/>
      <color rgb="006E6E73"/>
      <sz val="9"/>
    </font>
    <font>
      <name val="Poppins"/>
      <b val="1"/>
      <color rgb="00FFFFFF"/>
      <sz val="10"/>
    </font>
    <font>
      <name val="Poppins"/>
      <color rgb="0027282C"/>
      <sz val="10"/>
    </font>
    <font>
      <name val="Poppins"/>
      <b val="1"/>
      <color rgb="0027282C"/>
      <sz val="10"/>
    </font>
    <font>
      <name val="Poppins"/>
      <b val="1"/>
      <color rgb="00FFFFFF"/>
    </font>
    <font>
      <name val="Poppins"/>
      <b val="1"/>
      <color rgb="00009040"/>
      <sz val="12"/>
    </font>
    <font>
      <name val="Poppins"/>
      <i val="1"/>
      <color rgb="00009040"/>
      <sz val="8"/>
    </font>
    <font>
      <name val="Poppins"/>
      <color rgb="006E6E73"/>
      <sz val="9"/>
    </font>
    <font>
      <name val="Poppins"/>
      <b val="1"/>
      <color rgb="00E81820"/>
      <sz val="10"/>
    </font>
  </fonts>
  <fills count="6">
    <fill>
      <patternFill/>
    </fill>
    <fill>
      <patternFill patternType="gray125"/>
    </fill>
    <fill>
      <patternFill patternType="solid">
        <fgColor rgb="00E81820"/>
      </patternFill>
    </fill>
    <fill>
      <patternFill patternType="solid">
        <fgColor rgb="00FDF3F3"/>
      </patternFill>
    </fill>
    <fill>
      <patternFill patternType="solid">
        <fgColor rgb="00009040"/>
      </patternFill>
    </fill>
    <fill>
      <patternFill patternType="solid">
        <fgColor rgb="00FFF4D6"/>
      </patternFill>
    </fill>
  </fills>
  <borders count="3">
    <border>
      <left/>
      <right/>
      <top/>
      <bottom/>
      <diagonal/>
    </border>
    <border>
      <bottom style="thin">
        <color rgb="00E3E3E6"/>
      </bottom>
    </border>
    <border>
      <left/>
      <right/>
      <top/>
      <bottom style="thin">
        <color rgb="00E3E3E6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  <xf numFmtId="165" fontId="4" fillId="3" borderId="1" applyAlignment="1" pivotButton="0" quotePrefix="0" xfId="0">
      <alignment vertical="top" wrapText="1"/>
    </xf>
    <xf numFmtId="0" fontId="6" fillId="4" borderId="0" pivotButton="0" quotePrefix="0" xfId="0"/>
    <xf numFmtId="164" fontId="6" fillId="4" borderId="0" pivotButton="0" quotePrefix="0" xfId="0"/>
    <xf numFmtId="9" fontId="6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wrapText="1"/>
    </xf>
    <xf numFmtId="3" fontId="4" fillId="0" borderId="1" applyAlignment="1" pivotButton="0" quotePrefix="0" xfId="0">
      <alignment vertical="top" wrapText="1"/>
    </xf>
    <xf numFmtId="3" fontId="4" fillId="3" borderId="1" applyAlignment="1" pivotButton="0" quotePrefix="0" xfId="0">
      <alignment vertical="top" wrapText="1"/>
    </xf>
    <xf numFmtId="3" fontId="6" fillId="4" borderId="0" pivotButton="0" quotePrefix="0" xfId="0"/>
    <xf numFmtId="3" fontId="9" fillId="0" borderId="0" pivotButton="0" quotePrefix="0" xfId="0"/>
    <xf numFmtId="0" fontId="10" fillId="0" borderId="1" applyAlignment="1" pivotButton="0" quotePrefix="0" xfId="0">
      <alignment vertical="top" wrapText="1"/>
    </xf>
    <xf numFmtId="0" fontId="0" fillId="0" borderId="2" pivotButton="0" quotePrefix="0" xfId="0"/>
    <xf numFmtId="0" fontId="10" fillId="3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76300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76300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76300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76300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76300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22" customWidth="1" min="3" max="3"/>
    <col width="15" customWidth="1" min="4" max="4"/>
    <col width="8" customWidth="1" min="5" max="5"/>
    <col width="52" customWidth="1" min="6" max="6"/>
    <col width="52" customWidth="1" min="7" max="7"/>
  </cols>
  <sheetData>
    <row r="1" ht="48" customHeight="1">
      <c r="B1" s="1" t="inlineStr">
        <is>
          <t>Plan média · 1er trimestre 2027 · 40 000 000 F CFA</t>
        </is>
      </c>
    </row>
    <row r="2">
      <c r="B2" s="2" t="inlineStr">
        <is>
          <t>Huile Dinor, grossistes et boutiques de quartier · du 4 janvier au 31 mars 2027 · montants TTC à confirmer sur devis</t>
        </is>
      </c>
    </row>
    <row r="4" ht="32" customHeight="1">
      <c r="A4" s="3" t="inlineStr">
        <is>
          <t>Poste</t>
        </is>
      </c>
      <c r="B4" s="3" t="inlineStr">
        <is>
          <t>Bloc</t>
        </is>
      </c>
      <c r="C4" s="3" t="inlineStr">
        <is>
          <t>Étape du parcours</t>
        </is>
      </c>
      <c r="D4" s="3" t="inlineStr">
        <is>
          <t>Montant</t>
        </is>
      </c>
      <c r="E4" s="3" t="inlineStr">
        <is>
          <t>Part</t>
        </is>
      </c>
      <c r="F4" s="3" t="inlineStr">
        <is>
          <t>Ce que ça achète</t>
        </is>
      </c>
      <c r="G4" s="3" t="inlineStr">
        <is>
          <t>Règle de dépense</t>
        </is>
      </c>
    </row>
    <row r="5" ht="42" customHeight="1">
      <c r="A5" s="4" t="inlineStr">
        <is>
          <t>Club des grossistes : récompenses</t>
        </is>
      </c>
      <c r="B5" s="5" t="inlineStr">
        <is>
          <t>Revendeurs</t>
        </is>
      </c>
      <c r="C5" s="5" t="inlineStr">
        <is>
          <t>Décision, fidélisation</t>
        </is>
      </c>
      <c r="D5" s="6" t="n">
        <v>8000000</v>
      </c>
      <c r="E5" s="7">
        <f>D5/$D$14</f>
        <v/>
      </c>
      <c r="F5" s="5" t="inlineStr">
        <is>
          <t>Récompenses des trois paliers de commande, en produits Sania ou en équipement de stockage</t>
        </is>
      </c>
      <c r="G5" s="5" t="inlineStr">
        <is>
          <t>Paliers fixés par grossiste sur ses achats du 1er trimestre 2026 ; remise contre bon de commande facturé</t>
        </is>
      </c>
    </row>
    <row r="6" ht="42" customHeight="1">
      <c r="A6" s="8" t="inlineStr">
        <is>
          <t>Habillage des boutiques</t>
        </is>
      </c>
      <c r="B6" s="9" t="inlineStr">
        <is>
          <t>Terrain</t>
        </is>
      </c>
      <c r="C6" s="9" t="inlineStr">
        <is>
          <t>Considération, décision</t>
        </is>
      </c>
      <c r="D6" s="10" t="n">
        <v>7500000</v>
      </c>
      <c r="E6" s="11">
        <f>D6/$D$14</f>
        <v/>
      </c>
      <c r="F6" s="9" t="inlineStr">
        <is>
          <t>Autocollants de façade, affichettes « Ici, Dinor », réglettes de rayon, présentoirs</t>
        </is>
      </c>
      <c r="G6" s="9" t="inlineStr">
        <is>
          <t>Quantités fixées sur devis de deux imprimeurs au moins ; paiement à la livraison</t>
        </is>
      </c>
    </row>
    <row r="7" ht="42" customHeight="1">
      <c r="A7" s="4" t="inlineStr">
        <is>
          <t>Animatrices et superviseurs</t>
        </is>
      </c>
      <c r="B7" s="5" t="inlineStr">
        <is>
          <t>Terrain</t>
        </is>
      </c>
      <c r="C7" s="5" t="inlineStr">
        <is>
          <t>Décision</t>
        </is>
      </c>
      <c r="D7" s="6" t="n">
        <v>6000000</v>
      </c>
      <c r="E7" s="7">
        <f>D7/$D$14</f>
        <v/>
      </c>
      <c r="F7" s="5" t="inlineStr">
        <is>
          <t>12 semaines de visites hebdomadaires, transport compris, relevés chaque soir</t>
        </is>
      </c>
      <c r="G7" s="5" t="inlineStr">
        <is>
          <t>Contrat de prestation ; paiement sur relevés de visites remis</t>
        </is>
      </c>
    </row>
    <row r="8" ht="42" customHeight="1">
      <c r="A8" s="8" t="inlineStr">
        <is>
          <t>Radio de proximité</t>
        </is>
      </c>
      <c r="B8" s="9" t="inlineStr">
        <is>
          <t>Médias</t>
        </is>
      </c>
      <c r="C8" s="9" t="inlineStr">
        <is>
          <t>Découverte</t>
        </is>
      </c>
      <c r="D8" s="10" t="n">
        <v>5000000</v>
      </c>
      <c r="E8" s="11">
        <f>D8/$D$14</f>
        <v/>
      </c>
      <c r="F8" s="9" t="inlineStr">
        <is>
          <t>Deux vagues et un rappel, tranches du matin et de la mi-journée, dans les villes du plan</t>
        </is>
      </c>
      <c r="G8" s="9" t="inlineStr">
        <is>
          <t>Brief identique aux régies ; ordre d'insertion contrôlé ; paiement sur attestation de diffusion</t>
        </is>
      </c>
    </row>
    <row r="9" ht="42" customHeight="1">
      <c r="A9" s="4" t="inlineStr">
        <is>
          <t>Challenge des boutiquiers : lots</t>
        </is>
      </c>
      <c r="B9" s="5" t="inlineStr">
        <is>
          <t>Revendeurs</t>
        </is>
      </c>
      <c r="C9" s="5" t="inlineStr">
        <is>
          <t>Décision, fidélisation</t>
        </is>
      </c>
      <c r="D9" s="6" t="n">
        <v>4000000</v>
      </c>
      <c r="E9" s="7">
        <f>D9/$D$14</f>
        <v/>
      </c>
      <c r="F9" s="5" t="inlineStr">
        <is>
          <t>Lots hebdomadaires pendant 5 semaines et un grand prix par ville</t>
        </is>
      </c>
      <c r="G9" s="5" t="inlineStr">
        <is>
          <t>Règlement validé avant annonce ; lots remis contre photo et signature</t>
        </is>
      </c>
    </row>
    <row r="10" ht="42" customHeight="1">
      <c r="A10" s="8" t="inlineStr">
        <is>
          <t>Rencontres des grossistes</t>
        </is>
      </c>
      <c r="B10" s="9" t="inlineStr">
        <is>
          <t>Terrain</t>
        </is>
      </c>
      <c r="C10" s="9" t="inlineStr">
        <is>
          <t>Découverte, considération</t>
        </is>
      </c>
      <c r="D10" s="10" t="n">
        <v>3000000</v>
      </c>
      <c r="E10" s="11">
        <f>D10/$D$14</f>
        <v/>
      </c>
      <c r="F10" s="9" t="inlineStr">
        <is>
          <t>6 sessions dans 5 villes : salle, collation, supports, transport de l'équipe</t>
        </is>
      </c>
      <c r="G10" s="9" t="inlineStr">
        <is>
          <t>Devis par ville</t>
        </is>
      </c>
    </row>
    <row r="11" ht="42" customHeight="1">
      <c r="A11" s="4" t="inlineStr">
        <is>
          <t>Facebook, Instagram, TikTok, WhatsApp</t>
        </is>
      </c>
      <c r="B11" s="5" t="inlineStr">
        <is>
          <t>Médias</t>
        </is>
      </c>
      <c r="C11" s="5" t="inlineStr">
        <is>
          <t>Découverte, considération</t>
        </is>
      </c>
      <c r="D11" s="6" t="n">
        <v>3000000</v>
      </c>
      <c r="E11" s="7">
        <f>D11/$D$14</f>
        <v/>
      </c>
      <c r="F11" s="5" t="inlineStr">
        <is>
          <t>Diffusion des vidéos de recettes et annonces du challenge dans les villes du plan</t>
        </is>
      </c>
      <c r="G11" s="5" t="inlineStr">
        <is>
          <t>Plafond quotidien ; arrêt d'une publicité qui ne fait pas réagir au bout de 7 jours</t>
        </is>
      </c>
    </row>
    <row r="12" ht="42" customHeight="1">
      <c r="A12" s="8" t="inlineStr">
        <is>
          <t>Production</t>
        </is>
      </c>
      <c r="B12" s="9" t="inlineStr">
        <is>
          <t>Production</t>
        </is>
      </c>
      <c r="C12" s="9" t="inlineStr">
        <is>
          <t>Toutes</t>
        </is>
      </c>
      <c r="D12" s="10" t="n">
        <v>1500000</v>
      </c>
      <c r="E12" s="11">
        <f>D12/$D$14</f>
        <v/>
      </c>
      <c r="F12" s="9" t="inlineStr">
        <is>
          <t>Spot radio en français et en langues locales, 6 vidéos de recettes, maquettes des supports</t>
        </is>
      </c>
      <c r="G12" s="9" t="inlineStr">
        <is>
          <t>Paiement sur livraison des fichiers validés</t>
        </is>
      </c>
    </row>
    <row r="13" ht="42" customHeight="1">
      <c r="A13" s="4" t="inlineStr">
        <is>
          <t>Réserve</t>
        </is>
      </c>
      <c r="B13" s="5" t="inlineStr">
        <is>
          <t>Réserve</t>
        </is>
      </c>
      <c r="C13" s="5" t="inlineStr">
        <is>
          <t>Selon résultats</t>
        </is>
      </c>
      <c r="D13" s="6" t="n">
        <v>2000000</v>
      </c>
      <c r="E13" s="7">
        <f>D13/$D$14</f>
        <v/>
      </c>
      <c r="F13" s="5" t="inlineStr">
        <is>
          <t>Renfort du canal qui marche le mieux</t>
        </is>
      </c>
      <c r="G13" s="5" t="inlineStr">
        <is>
          <t>Débloquée le vendredi 26 février, sur accord écrit</t>
        </is>
      </c>
    </row>
    <row r="14">
      <c r="A14" s="12" t="inlineStr">
        <is>
          <t>Total</t>
        </is>
      </c>
      <c r="B14" s="12" t="n"/>
      <c r="C14" s="12" t="n"/>
      <c r="D14" s="13">
        <f>SUM(D5:D13)</f>
        <v/>
      </c>
      <c r="E14" s="14">
        <f>SUM(E5:E13)</f>
        <v/>
      </c>
      <c r="F14" s="12" t="n"/>
      <c r="G14" s="12" t="n"/>
    </row>
    <row r="16">
      <c r="A16" s="15" t="inlineStr">
        <is>
          <t>Par bloc</t>
        </is>
      </c>
    </row>
    <row r="17">
      <c r="A17" s="5" t="inlineStr">
        <is>
          <t>Revendeurs</t>
        </is>
      </c>
      <c r="B17" s="5" t="n"/>
      <c r="C17" s="5" t="n"/>
      <c r="D17" s="6">
        <f>SUMIF($B$5:$B$13,A17,$D$5:$D$13)</f>
        <v/>
      </c>
      <c r="E17" s="7">
        <f>D17/$D$14</f>
        <v/>
      </c>
    </row>
    <row r="18">
      <c r="A18" s="5" t="inlineStr">
        <is>
          <t>Terrain</t>
        </is>
      </c>
      <c r="B18" s="5" t="n"/>
      <c r="C18" s="5" t="n"/>
      <c r="D18" s="6">
        <f>SUMIF($B$5:$B$13,A18,$D$5:$D$13)</f>
        <v/>
      </c>
      <c r="E18" s="7">
        <f>D18/$D$14</f>
        <v/>
      </c>
    </row>
    <row r="19">
      <c r="A19" s="5" t="inlineStr">
        <is>
          <t>Médias</t>
        </is>
      </c>
      <c r="B19" s="5" t="n"/>
      <c r="C19" s="5" t="n"/>
      <c r="D19" s="6">
        <f>SUMIF($B$5:$B$13,A19,$D$5:$D$13)</f>
        <v/>
      </c>
      <c r="E19" s="7">
        <f>D19/$D$14</f>
        <v/>
      </c>
    </row>
    <row r="20">
      <c r="A20" s="5" t="inlineStr">
        <is>
          <t>Production</t>
        </is>
      </c>
      <c r="B20" s="5" t="n"/>
      <c r="C20" s="5" t="n"/>
      <c r="D20" s="6">
        <f>SUMIF($B$5:$B$13,A20,$D$5:$D$13)</f>
        <v/>
      </c>
      <c r="E20" s="7">
        <f>D20/$D$14</f>
        <v/>
      </c>
    </row>
    <row r="21">
      <c r="A21" s="5" t="inlineStr">
        <is>
          <t>Réserve</t>
        </is>
      </c>
      <c r="B21" s="5" t="n"/>
      <c r="C21" s="5" t="n"/>
      <c r="D21" s="6">
        <f>SUMIF($B$5:$B$13,A21,$D$5:$D$13)</f>
        <v/>
      </c>
      <c r="E21" s="7">
        <f>D21/$D$14</f>
        <v/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1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9" customWidth="1" min="16" max="16"/>
  </cols>
  <sheetData>
    <row r="1" ht="48" customHeight="1">
      <c r="B1" s="1" t="inlineStr">
        <is>
          <t>Calendrier semaine par semaine</t>
        </is>
      </c>
    </row>
    <row r="2">
      <c r="B2" s="2" t="inlineStr">
        <is>
          <t>Montants engagés par semaine (F CFA) · chaque ligne se recoupe avec l'onglet Répartition</t>
        </is>
      </c>
    </row>
    <row r="4" ht="44" customHeight="1">
      <c r="A4" s="3" t="inlineStr">
        <is>
          <t>Poste</t>
        </is>
      </c>
      <c r="B4" s="3" t="inlineStr">
        <is>
          <t>S1
4-10 janv.</t>
        </is>
      </c>
      <c r="C4" s="3" t="inlineStr">
        <is>
          <t>S2
11-17 janv.</t>
        </is>
      </c>
      <c r="D4" s="3" t="inlineStr">
        <is>
          <t>S3
18-24 janv.</t>
        </is>
      </c>
      <c r="E4" s="3" t="inlineStr">
        <is>
          <t>S4
25-31 janv.</t>
        </is>
      </c>
      <c r="F4" s="3" t="inlineStr">
        <is>
          <t>S5
1-7 févr.</t>
        </is>
      </c>
      <c r="G4" s="3" t="inlineStr">
        <is>
          <t>S6
8-14 févr.</t>
        </is>
      </c>
      <c r="H4" s="3" t="inlineStr">
        <is>
          <t>S7
15-21 févr.</t>
        </is>
      </c>
      <c r="I4" s="3" t="inlineStr">
        <is>
          <t>S8
22-28 févr.</t>
        </is>
      </c>
      <c r="J4" s="3" t="inlineStr">
        <is>
          <t>S9
1-7 mars</t>
        </is>
      </c>
      <c r="K4" s="3" t="inlineStr">
        <is>
          <t>S10
8-14 mars</t>
        </is>
      </c>
      <c r="L4" s="3" t="inlineStr">
        <is>
          <t>S11
15-21 mars</t>
        </is>
      </c>
      <c r="M4" s="3" t="inlineStr">
        <is>
          <t>S12
22-28 mars</t>
        </is>
      </c>
      <c r="N4" s="3" t="inlineStr">
        <is>
          <t>S13
29-31 mars</t>
        </is>
      </c>
      <c r="O4" s="3" t="inlineStr">
        <is>
          <t>Total</t>
        </is>
      </c>
      <c r="P4" s="3" t="inlineStr">
        <is>
          <t>Contrôle</t>
        </is>
      </c>
    </row>
    <row r="5">
      <c r="A5" s="16" t="inlineStr">
        <is>
          <t>Temps du plan</t>
        </is>
      </c>
      <c r="B5" s="17" t="inlineStr">
        <is>
          <t>Remise en route</t>
        </is>
      </c>
      <c r="C5" s="17" t="inlineStr">
        <is>
          <t>Remise en route</t>
        </is>
      </c>
      <c r="D5" s="17" t="inlineStr">
        <is>
          <t>Stockage avant le Ramadan</t>
        </is>
      </c>
      <c r="E5" s="17" t="inlineStr">
        <is>
          <t>Stockage avant le Ramadan</t>
        </is>
      </c>
      <c r="F5" s="17" t="inlineStr">
        <is>
          <t>Stockage avant le Ramadan</t>
        </is>
      </c>
      <c r="G5" s="17" t="inlineStr">
        <is>
          <t>Ramadan</t>
        </is>
      </c>
      <c r="H5" s="17" t="inlineStr">
        <is>
          <t>Ramadan</t>
        </is>
      </c>
      <c r="I5" s="17" t="inlineStr">
        <is>
          <t>Ramadan</t>
        </is>
      </c>
      <c r="J5" s="17" t="inlineStr">
        <is>
          <t>Ramadan</t>
        </is>
      </c>
      <c r="K5" s="17" t="inlineStr">
        <is>
          <t>Ramadan</t>
        </is>
      </c>
      <c r="L5" s="17" t="inlineStr">
        <is>
          <t>Pâques et bilan</t>
        </is>
      </c>
      <c r="M5" s="17" t="inlineStr">
        <is>
          <t>Pâques et bilan</t>
        </is>
      </c>
      <c r="N5" s="17" t="inlineStr">
        <is>
          <t>Pâques et bilan</t>
        </is>
      </c>
    </row>
    <row r="6">
      <c r="A6" s="4" t="inlineStr">
        <is>
          <t>Club des grossistes : récompenses</t>
        </is>
      </c>
      <c r="B6" s="18" t="n"/>
      <c r="C6" s="18" t="n"/>
      <c r="D6" s="18" t="n"/>
      <c r="E6" s="18" t="n">
        <v>2000000</v>
      </c>
      <c r="F6" s="18" t="n"/>
      <c r="G6" s="18" t="n"/>
      <c r="H6" s="18" t="n"/>
      <c r="I6" s="18" t="n"/>
      <c r="J6" s="18" t="n">
        <v>3000000</v>
      </c>
      <c r="K6" s="18" t="n"/>
      <c r="L6" s="18" t="n"/>
      <c r="M6" s="18" t="n">
        <v>3000000</v>
      </c>
      <c r="N6" s="18" t="n"/>
      <c r="O6" s="18">
        <f>SUM(B6:N6)</f>
        <v/>
      </c>
      <c r="P6" s="5">
        <f>IF(O6=Répartition!D5,"OK","écart")</f>
        <v/>
      </c>
    </row>
    <row r="7">
      <c r="A7" s="8" t="inlineStr">
        <is>
          <t>Habillage des boutiques</t>
        </is>
      </c>
      <c r="B7" s="19" t="n"/>
      <c r="C7" s="19" t="n">
        <v>2500000</v>
      </c>
      <c r="D7" s="19" t="n">
        <v>3000000</v>
      </c>
      <c r="E7" s="19" t="n">
        <v>2000000</v>
      </c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>
        <f>SUM(B7:N7)</f>
        <v/>
      </c>
      <c r="P7" s="9">
        <f>IF(O7=Répartition!D6,"OK","écart")</f>
        <v/>
      </c>
    </row>
    <row r="8">
      <c r="A8" s="4" t="inlineStr">
        <is>
          <t>Animatrices et superviseurs</t>
        </is>
      </c>
      <c r="B8" s="18" t="n">
        <v>500000</v>
      </c>
      <c r="C8" s="18" t="n">
        <v>500000</v>
      </c>
      <c r="D8" s="18" t="n">
        <v>500000</v>
      </c>
      <c r="E8" s="18" t="n">
        <v>500000</v>
      </c>
      <c r="F8" s="18" t="n">
        <v>500000</v>
      </c>
      <c r="G8" s="18" t="n">
        <v>500000</v>
      </c>
      <c r="H8" s="18" t="n">
        <v>500000</v>
      </c>
      <c r="I8" s="18" t="n">
        <v>500000</v>
      </c>
      <c r="J8" s="18" t="n">
        <v>500000</v>
      </c>
      <c r="K8" s="18" t="n">
        <v>500000</v>
      </c>
      <c r="L8" s="18" t="n">
        <v>500000</v>
      </c>
      <c r="M8" s="18" t="n">
        <v>500000</v>
      </c>
      <c r="N8" s="18" t="n"/>
      <c r="O8" s="18">
        <f>SUM(B8:N8)</f>
        <v/>
      </c>
      <c r="P8" s="5">
        <f>IF(O8=Répartition!D7,"OK","écart")</f>
        <v/>
      </c>
    </row>
    <row r="9">
      <c r="A9" s="8" t="inlineStr">
        <is>
          <t>Radio de proximité</t>
        </is>
      </c>
      <c r="B9" s="19" t="n"/>
      <c r="C9" s="19" t="n"/>
      <c r="D9" s="19" t="n"/>
      <c r="E9" s="19" t="n">
        <v>600000</v>
      </c>
      <c r="F9" s="19" t="n">
        <v>600000</v>
      </c>
      <c r="G9" s="19" t="n">
        <v>600000</v>
      </c>
      <c r="H9" s="19" t="n">
        <v>600000</v>
      </c>
      <c r="I9" s="19" t="n">
        <v>600000</v>
      </c>
      <c r="J9" s="19" t="n">
        <v>600000</v>
      </c>
      <c r="K9" s="19" t="n">
        <v>600000</v>
      </c>
      <c r="L9" s="19" t="n"/>
      <c r="M9" s="19" t="n">
        <v>600000</v>
      </c>
      <c r="N9" s="19" t="n">
        <v>200000</v>
      </c>
      <c r="O9" s="19">
        <f>SUM(B9:N9)</f>
        <v/>
      </c>
      <c r="P9" s="9">
        <f>IF(O9=Répartition!D8,"OK","écart")</f>
        <v/>
      </c>
    </row>
    <row r="10">
      <c r="A10" s="4" t="inlineStr">
        <is>
          <t>Challenge des boutiquiers : lots</t>
        </is>
      </c>
      <c r="B10" s="18" t="n"/>
      <c r="C10" s="18" t="n"/>
      <c r="D10" s="18" t="n"/>
      <c r="E10" s="18" t="n"/>
      <c r="F10" s="18" t="n"/>
      <c r="G10" s="18" t="n">
        <v>600000</v>
      </c>
      <c r="H10" s="18" t="n">
        <v>600000</v>
      </c>
      <c r="I10" s="18" t="n">
        <v>600000</v>
      </c>
      <c r="J10" s="18" t="n">
        <v>600000</v>
      </c>
      <c r="K10" s="18" t="n">
        <v>1600000</v>
      </c>
      <c r="L10" s="18" t="n"/>
      <c r="M10" s="18" t="n"/>
      <c r="N10" s="18" t="n"/>
      <c r="O10" s="18">
        <f>SUM(B10:N10)</f>
        <v/>
      </c>
      <c r="P10" s="5">
        <f>IF(O10=Répartition!D9,"OK","écart")</f>
        <v/>
      </c>
    </row>
    <row r="11">
      <c r="A11" s="8" t="inlineStr">
        <is>
          <t>Rencontres des grossistes</t>
        </is>
      </c>
      <c r="B11" s="19" t="n"/>
      <c r="C11" s="19" t="n">
        <v>3000000</v>
      </c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>
        <f>SUM(B11:N11)</f>
        <v/>
      </c>
      <c r="P11" s="9">
        <f>IF(O11=Répartition!D10,"OK","écart")</f>
        <v/>
      </c>
    </row>
    <row r="12">
      <c r="A12" s="4" t="inlineStr">
        <is>
          <t>Facebook, Instagram, TikTok, WhatsApp</t>
        </is>
      </c>
      <c r="B12" s="18" t="n"/>
      <c r="C12" s="18" t="n"/>
      <c r="D12" s="18" t="n">
        <v>250000</v>
      </c>
      <c r="E12" s="18" t="n">
        <v>250000</v>
      </c>
      <c r="F12" s="18" t="n">
        <v>300000</v>
      </c>
      <c r="G12" s="18" t="n">
        <v>300000</v>
      </c>
      <c r="H12" s="18" t="n">
        <v>300000</v>
      </c>
      <c r="I12" s="18" t="n">
        <v>300000</v>
      </c>
      <c r="J12" s="18" t="n">
        <v>300000</v>
      </c>
      <c r="K12" s="18" t="n">
        <v>300000</v>
      </c>
      <c r="L12" s="18" t="n">
        <v>200000</v>
      </c>
      <c r="M12" s="18" t="n">
        <v>300000</v>
      </c>
      <c r="N12" s="18" t="n">
        <v>200000</v>
      </c>
      <c r="O12" s="18">
        <f>SUM(B12:N12)</f>
        <v/>
      </c>
      <c r="P12" s="5">
        <f>IF(O12=Répartition!D11,"OK","écart")</f>
        <v/>
      </c>
    </row>
    <row r="13">
      <c r="A13" s="8" t="inlineStr">
        <is>
          <t>Production</t>
        </is>
      </c>
      <c r="B13" s="19" t="n">
        <v>900000</v>
      </c>
      <c r="C13" s="19" t="n">
        <v>400000</v>
      </c>
      <c r="D13" s="19" t="n">
        <v>200000</v>
      </c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>
        <f>SUM(B13:N13)</f>
        <v/>
      </c>
      <c r="P13" s="9">
        <f>IF(O13=Répartition!D12,"OK","écart")</f>
        <v/>
      </c>
    </row>
    <row r="14">
      <c r="A14" s="4" t="inlineStr">
        <is>
          <t>Réserve</t>
        </is>
      </c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>
        <f>SUM(B14:N14)</f>
        <v/>
      </c>
      <c r="P14" s="5" t="inlineStr">
        <is>
          <t>à décider</t>
        </is>
      </c>
    </row>
    <row r="15">
      <c r="A15" s="12" t="inlineStr">
        <is>
          <t>Total de la semaine</t>
        </is>
      </c>
      <c r="B15" s="20">
        <f>SUM(B6:B14)</f>
        <v/>
      </c>
      <c r="C15" s="20">
        <f>SUM(C6:C14)</f>
        <v/>
      </c>
      <c r="D15" s="20">
        <f>SUM(D6:D14)</f>
        <v/>
      </c>
      <c r="E15" s="20">
        <f>SUM(E6:E14)</f>
        <v/>
      </c>
      <c r="F15" s="20">
        <f>SUM(F6:F14)</f>
        <v/>
      </c>
      <c r="G15" s="20">
        <f>SUM(G6:G14)</f>
        <v/>
      </c>
      <c r="H15" s="20">
        <f>SUM(H6:H14)</f>
        <v/>
      </c>
      <c r="I15" s="20">
        <f>SUM(I6:I14)</f>
        <v/>
      </c>
      <c r="J15" s="20">
        <f>SUM(J6:J14)</f>
        <v/>
      </c>
      <c r="K15" s="20">
        <f>SUM(K6:K14)</f>
        <v/>
      </c>
      <c r="L15" s="20">
        <f>SUM(L6:L14)</f>
        <v/>
      </c>
      <c r="M15" s="20">
        <f>SUM(M6:M14)</f>
        <v/>
      </c>
      <c r="N15" s="20">
        <f>SUM(N6:N14)</f>
        <v/>
      </c>
      <c r="O15" s="20">
        <f>SUM(O6:O14)</f>
        <v/>
      </c>
      <c r="P15" s="12">
        <f>IF(O15=Répartition!D14-Répartition!D13,"OK","écart")</f>
        <v/>
      </c>
    </row>
    <row r="16">
      <c r="A16" t="inlineStr">
        <is>
          <t>Cumul engagé</t>
        </is>
      </c>
      <c r="B16" s="21">
        <f>SUM($B$15:B15)</f>
        <v/>
      </c>
      <c r="C16" s="21">
        <f>SUM($B$15:C15)</f>
        <v/>
      </c>
      <c r="D16" s="21">
        <f>SUM($B$15:D15)</f>
        <v/>
      </c>
      <c r="E16" s="21">
        <f>SUM($B$15:E15)</f>
        <v/>
      </c>
      <c r="F16" s="21">
        <f>SUM($B$15:F15)</f>
        <v/>
      </c>
      <c r="G16" s="21">
        <f>SUM($B$15:G15)</f>
        <v/>
      </c>
      <c r="H16" s="21">
        <f>SUM($B$15:H15)</f>
        <v/>
      </c>
      <c r="I16" s="21">
        <f>SUM($B$15:I15)</f>
        <v/>
      </c>
      <c r="J16" s="21">
        <f>SUM($B$15:J15)</f>
        <v/>
      </c>
      <c r="K16" s="21">
        <f>SUM($B$15:K15)</f>
        <v/>
      </c>
      <c r="L16" s="21">
        <f>SUM($B$15:L15)</f>
        <v/>
      </c>
      <c r="M16" s="21">
        <f>SUM($B$15:M15)</f>
        <v/>
      </c>
      <c r="N16" s="21">
        <f>SUM($B$15:N15)</f>
        <v/>
      </c>
    </row>
    <row r="18">
      <c r="A18" s="2" t="inlineStr">
        <is>
          <t>La réserve n'est pas placée : elle se décide au point du vendredi 26 février (S8).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22" customWidth="1" min="4" max="4"/>
    <col width="10" customWidth="1" min="5" max="5"/>
    <col width="24" customWidth="1" min="6" max="6"/>
    <col width="14" customWidth="1" min="7" max="7"/>
    <col width="12" customWidth="1" min="8" max="8"/>
    <col width="28" customWidth="1" min="9" max="9"/>
  </cols>
  <sheetData>
    <row r="1" ht="48" customHeight="1">
      <c r="B1" s="1" t="inlineStr">
        <is>
          <t>Consultation des radios : brief et grille de comparaison</t>
        </is>
      </c>
    </row>
    <row r="2">
      <c r="B2" s="2" t="inlineStr">
        <is>
          <t>Le même brief part à toutes les régies consultées, après votre accord. Aucun tarif ni aucune audience n'est supposé ici.</t>
        </is>
      </c>
    </row>
    <row r="4" ht="30" customHeight="1">
      <c r="A4" s="22" t="inlineStr">
        <is>
          <t>Annonceur</t>
        </is>
      </c>
      <c r="B4" s="5" t="inlineStr">
        <is>
          <t>Sania Cie, marque Dinor (huile de palme raffinée)</t>
        </is>
      </c>
      <c r="C4" s="23" t="n"/>
      <c r="D4" s="23" t="n"/>
      <c r="E4" s="23" t="n"/>
      <c r="F4" s="23" t="n"/>
      <c r="G4" s="23" t="n"/>
      <c r="H4" s="23" t="n"/>
      <c r="I4" s="23" t="n"/>
    </row>
    <row r="5" ht="30" customHeight="1">
      <c r="A5" s="24" t="inlineStr">
        <is>
          <t>Objectif</t>
        </is>
      </c>
      <c r="B5" s="9" t="inlineStr">
        <is>
          <t>Faire demander Dinor dans les boutiques de quartier pendant le Ramadan et la fête de fin du Ramadan</t>
        </is>
      </c>
      <c r="C5" s="23" t="n"/>
      <c r="D5" s="23" t="n"/>
      <c r="E5" s="23" t="n"/>
      <c r="F5" s="23" t="n"/>
      <c r="G5" s="23" t="n"/>
      <c r="H5" s="23" t="n"/>
      <c r="I5" s="23" t="n"/>
    </row>
    <row r="6" ht="30" customHeight="1">
      <c r="A6" s="22" t="inlineStr">
        <is>
          <t>Cible</t>
        </is>
      </c>
      <c r="B6" s="5" t="inlineStr">
        <is>
          <t>Femmes et hommes qui font la cuisine au foyer, 25-55 ans, quartiers populaires et intermédiaires</t>
        </is>
      </c>
      <c r="C6" s="23" t="n"/>
      <c r="D6" s="23" t="n"/>
      <c r="E6" s="23" t="n"/>
      <c r="F6" s="23" t="n"/>
      <c r="G6" s="23" t="n"/>
      <c r="H6" s="23" t="n"/>
      <c r="I6" s="23" t="n"/>
    </row>
    <row r="7" ht="30" customHeight="1">
      <c r="A7" s="24" t="inlineStr">
        <is>
          <t>Zones</t>
        </is>
      </c>
      <c r="B7" s="9" t="inlineStr">
        <is>
          <t>Abidjan, Bouaké, San Pedro, Daloa, Korhogo</t>
        </is>
      </c>
      <c r="C7" s="23" t="n"/>
      <c r="D7" s="23" t="n"/>
      <c r="E7" s="23" t="n"/>
      <c r="F7" s="23" t="n"/>
      <c r="G7" s="23" t="n"/>
      <c r="H7" s="23" t="n"/>
      <c r="I7" s="23" t="n"/>
    </row>
    <row r="8" ht="30" customHeight="1">
      <c r="A8" s="22" t="inlineStr">
        <is>
          <t>Période</t>
        </is>
      </c>
      <c r="B8" s="5" t="inlineStr">
        <is>
          <t>Vague 1 : 25 janvier au 7 février 2027 · Vague 2 : 8 février au 14 mars 2027 · Rappel : 22 au 31 mars 2027</t>
        </is>
      </c>
      <c r="C8" s="23" t="n"/>
      <c r="D8" s="23" t="n"/>
      <c r="E8" s="23" t="n"/>
      <c r="F8" s="23" t="n"/>
      <c r="G8" s="23" t="n"/>
      <c r="H8" s="23" t="n"/>
      <c r="I8" s="23" t="n"/>
    </row>
    <row r="9" ht="30" customHeight="1">
      <c r="A9" s="24" t="inlineStr">
        <is>
          <t>Format</t>
        </is>
      </c>
      <c r="B9" s="9" t="inlineStr">
        <is>
          <t>Spot de 30 secondes en français, et version en langue locale si la station en diffuse</t>
        </is>
      </c>
      <c r="C9" s="23" t="n"/>
      <c r="D9" s="23" t="n"/>
      <c r="E9" s="23" t="n"/>
      <c r="F9" s="23" t="n"/>
      <c r="G9" s="23" t="n"/>
      <c r="H9" s="23" t="n"/>
      <c r="I9" s="23" t="n"/>
    </row>
    <row r="10" ht="30" customHeight="1">
      <c r="A10" s="22" t="inlineStr">
        <is>
          <t>Tranches souhaitées</t>
        </is>
      </c>
      <c r="B10" s="5" t="inlineStr">
        <is>
          <t>6 h - 9 h et 11 h - 14 h, du lundi au samedi ; heure de rupture du jeûne pendant le Ramadan</t>
        </is>
      </c>
      <c r="C10" s="23" t="n"/>
      <c r="D10" s="23" t="n"/>
      <c r="E10" s="23" t="n"/>
      <c r="F10" s="23" t="n"/>
      <c r="G10" s="23" t="n"/>
      <c r="H10" s="23" t="n"/>
      <c r="I10" s="23" t="n"/>
    </row>
    <row r="11" ht="30" customHeight="1">
      <c r="A11" s="24" t="inlineStr">
        <is>
          <t>Enveloppe indicative</t>
        </is>
      </c>
      <c r="B11" s="9" t="inlineStr">
        <is>
          <t>5 000 000 F CFA TTC pour l'ensemble des stations, production non comprise</t>
        </is>
      </c>
      <c r="C11" s="23" t="n"/>
      <c r="D11" s="23" t="n"/>
      <c r="E11" s="23" t="n"/>
      <c r="F11" s="23" t="n"/>
      <c r="G11" s="23" t="n"/>
      <c r="H11" s="23" t="n"/>
      <c r="I11" s="23" t="n"/>
    </row>
    <row r="12" ht="30" customHeight="1">
      <c r="A12" s="22" t="inlineStr">
        <is>
          <t>À indiquer dans la réponse</t>
        </is>
      </c>
      <c r="B12" s="5" t="inlineStr">
        <is>
          <t>Stations, tranches exactes, nombre de passages, audience et sa source datée, prix brut, remises, prix net, frais techniques, conditions de paiement et d'annulation, justificatifs de diffusion</t>
        </is>
      </c>
      <c r="C12" s="23" t="n"/>
      <c r="D12" s="23" t="n"/>
      <c r="E12" s="23" t="n"/>
      <c r="F12" s="23" t="n"/>
      <c r="G12" s="23" t="n"/>
      <c r="H12" s="23" t="n"/>
      <c r="I12" s="23" t="n"/>
    </row>
    <row r="13" ht="30" customHeight="1">
      <c r="A13" s="24" t="inlineStr">
        <is>
          <t>Date limite de réponse</t>
        </is>
      </c>
      <c r="B13" s="25" t="inlineStr">
        <is>
          <t>⟦à fixer, au plus tard le 11 décembre 2026⟧</t>
        </is>
      </c>
      <c r="C13" s="23" t="n"/>
      <c r="D13" s="23" t="n"/>
      <c r="E13" s="23" t="n"/>
      <c r="F13" s="23" t="n"/>
      <c r="G13" s="23" t="n"/>
      <c r="H13" s="23" t="n"/>
      <c r="I13" s="23" t="n"/>
    </row>
    <row r="15">
      <c r="A15" s="15" t="inlineStr">
        <is>
          <t>Grille de comparaison (à remplir avec les propositions écrites)</t>
        </is>
      </c>
    </row>
    <row r="16" ht="32" customHeight="1">
      <c r="A16" s="3" t="inlineStr">
        <is>
          <t>Régie</t>
        </is>
      </c>
      <c r="B16" s="3" t="inlineStr">
        <is>
          <t>Station</t>
        </is>
      </c>
      <c r="C16" s="3" t="inlineStr">
        <is>
          <t>Ville</t>
        </is>
      </c>
      <c r="D16" s="3" t="inlineStr">
        <is>
          <t>Tranches proposées</t>
        </is>
      </c>
      <c r="E16" s="3" t="inlineStr">
        <is>
          <t>Passages</t>
        </is>
      </c>
      <c r="F16" s="3" t="inlineStr">
        <is>
          <t>Audience (source et date)</t>
        </is>
      </c>
      <c r="G16" s="3" t="inlineStr">
        <is>
          <t>Prix net TTC</t>
        </is>
      </c>
      <c r="H16" s="3" t="inlineStr">
        <is>
          <t>Frais</t>
        </is>
      </c>
      <c r="I16" s="3" t="inlineStr">
        <is>
          <t>Remarques</t>
        </is>
      </c>
    </row>
    <row r="17" ht="22" customHeight="1">
      <c r="A17" s="25" t="n"/>
      <c r="B17" s="25" t="n"/>
      <c r="C17" s="25" t="n"/>
      <c r="D17" s="25" t="n"/>
      <c r="E17" s="25" t="n"/>
      <c r="F17" s="25" t="n"/>
      <c r="G17" s="25" t="n"/>
      <c r="H17" s="25" t="n"/>
      <c r="I17" s="25" t="n"/>
    </row>
    <row r="18" ht="22" customHeight="1">
      <c r="A18" s="25" t="n"/>
      <c r="B18" s="25" t="n"/>
      <c r="C18" s="25" t="n"/>
      <c r="D18" s="25" t="n"/>
      <c r="E18" s="25" t="n"/>
      <c r="F18" s="25" t="n"/>
      <c r="G18" s="25" t="n"/>
      <c r="H18" s="25" t="n"/>
      <c r="I18" s="25" t="n"/>
    </row>
    <row r="19" ht="22" customHeight="1">
      <c r="A19" s="25" t="n"/>
      <c r="B19" s="25" t="n"/>
      <c r="C19" s="25" t="n"/>
      <c r="D19" s="25" t="n"/>
      <c r="E19" s="25" t="n"/>
      <c r="F19" s="25" t="n"/>
      <c r="G19" s="25" t="n"/>
      <c r="H19" s="25" t="n"/>
      <c r="I19" s="25" t="n"/>
    </row>
    <row r="20" ht="22" customHeight="1">
      <c r="A20" s="25" t="n"/>
      <c r="B20" s="25" t="n"/>
      <c r="C20" s="25" t="n"/>
      <c r="D20" s="25" t="n"/>
      <c r="E20" s="25" t="n"/>
      <c r="F20" s="25" t="n"/>
      <c r="G20" s="25" t="n"/>
      <c r="H20" s="25" t="n"/>
      <c r="I20" s="25" t="n"/>
    </row>
    <row r="21" ht="22" customHeight="1">
      <c r="A21" s="25" t="n"/>
      <c r="B21" s="25" t="n"/>
      <c r="C21" s="25" t="n"/>
      <c r="D21" s="25" t="n"/>
      <c r="E21" s="25" t="n"/>
      <c r="F21" s="25" t="n"/>
      <c r="G21" s="25" t="n"/>
      <c r="H21" s="25" t="n"/>
      <c r="I21" s="25" t="n"/>
    </row>
    <row r="22" ht="22" customHeight="1">
      <c r="A22" s="25" t="n"/>
      <c r="B22" s="25" t="n"/>
      <c r="C22" s="25" t="n"/>
      <c r="D22" s="25" t="n"/>
      <c r="E22" s="25" t="n"/>
      <c r="F22" s="25" t="n"/>
      <c r="G22" s="25" t="n"/>
      <c r="H22" s="25" t="n"/>
      <c r="I22" s="25" t="n"/>
    </row>
    <row r="23" ht="22" customHeight="1">
      <c r="A23" s="25" t="n"/>
      <c r="B23" s="25" t="n"/>
      <c r="C23" s="25" t="n"/>
      <c r="D23" s="25" t="n"/>
      <c r="E23" s="25" t="n"/>
      <c r="F23" s="25" t="n"/>
      <c r="G23" s="25" t="n"/>
      <c r="H23" s="25" t="n"/>
      <c r="I23" s="25" t="n"/>
    </row>
    <row r="24" ht="22" customHeight="1">
      <c r="A24" s="25" t="n"/>
      <c r="B24" s="25" t="n"/>
      <c r="C24" s="25" t="n"/>
      <c r="D24" s="25" t="n"/>
      <c r="E24" s="25" t="n"/>
      <c r="F24" s="25" t="n"/>
      <c r="G24" s="25" t="n"/>
      <c r="H24" s="25" t="n"/>
      <c r="I24" s="25" t="n"/>
    </row>
  </sheetData>
  <mergeCells count="10">
    <mergeCell ref="B9:I9"/>
    <mergeCell ref="B12:I12"/>
    <mergeCell ref="B13:I13"/>
    <mergeCell ref="B7:I7"/>
    <mergeCell ref="B11:I11"/>
    <mergeCell ref="B6:I6"/>
    <mergeCell ref="B10:I10"/>
    <mergeCell ref="B5:I5"/>
    <mergeCell ref="B8:I8"/>
    <mergeCell ref="B4:I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20" customWidth="1" min="3" max="3"/>
    <col width="18" customWidth="1" min="4" max="4"/>
    <col width="14" customWidth="1" min="5" max="5"/>
    <col width="14" customWidth="1" min="6" max="6"/>
    <col width="20" customWidth="1" min="7" max="7"/>
    <col width="22" customWidth="1" min="8" max="8"/>
  </cols>
  <sheetData>
    <row r="1" ht="48" customHeight="1">
      <c r="B1" s="1" t="inlineStr">
        <is>
          <t>Le dispositif terrain par ville</t>
        </is>
      </c>
    </row>
    <row r="2">
      <c r="B2" s="2" t="inlineStr">
        <is>
          <t>Les cases jaunes sont à arrêter avec la direction commerciale ; les quantités suivent les devis</t>
        </is>
      </c>
    </row>
    <row r="4" ht="32" customHeight="1">
      <c r="A4" s="3" t="inlineStr">
        <is>
          <t>Ville</t>
        </is>
      </c>
      <c r="B4" s="3" t="inlineStr">
        <is>
          <t>Grossistes invités</t>
        </is>
      </c>
      <c r="C4" s="3" t="inlineStr">
        <is>
          <t>Session de rencontre</t>
        </is>
      </c>
      <c r="D4" s="3" t="inlineStr">
        <is>
          <t>Boutiques à équiper</t>
        </is>
      </c>
      <c r="E4" s="3" t="inlineStr">
        <is>
          <t>Animatrices</t>
        </is>
      </c>
      <c r="F4" s="3" t="inlineStr">
        <is>
          <t>Superviseur</t>
        </is>
      </c>
      <c r="G4" s="3" t="inlineStr">
        <is>
          <t>Grossistes inscrits</t>
        </is>
      </c>
      <c r="H4" s="3" t="inlineStr">
        <is>
          <t>Boutiques équipées (réalisé)</t>
        </is>
      </c>
    </row>
    <row r="5" ht="30" customHeight="1">
      <c r="A5" s="4" t="inlineStr">
        <is>
          <t>Abidjan nord (Adjamé, Abobo, Yopougon)</t>
        </is>
      </c>
      <c r="B5" s="25" t="inlineStr"/>
      <c r="C5" s="5" t="inlineStr">
        <is>
          <t>Mar. 12 janvier</t>
        </is>
      </c>
      <c r="D5" s="25" t="inlineStr"/>
      <c r="E5" s="25" t="inlineStr"/>
      <c r="F5" s="25" t="inlineStr"/>
      <c r="G5" s="25" t="inlineStr"/>
      <c r="H5" s="25" t="inlineStr"/>
    </row>
    <row r="6" ht="30" customHeight="1">
      <c r="A6" s="8" t="inlineStr">
        <is>
          <t>Abidjan sud (Treichville, Koumassi, Port-Bouët)</t>
        </is>
      </c>
      <c r="B6" s="25" t="inlineStr"/>
      <c r="C6" s="9" t="inlineStr">
        <is>
          <t>Mer. 13 janvier</t>
        </is>
      </c>
      <c r="D6" s="25" t="inlineStr"/>
      <c r="E6" s="25" t="inlineStr"/>
      <c r="F6" s="25" t="inlineStr"/>
      <c r="G6" s="25" t="inlineStr"/>
      <c r="H6" s="25" t="inlineStr"/>
    </row>
    <row r="7" ht="30" customHeight="1">
      <c r="A7" s="4" t="inlineStr">
        <is>
          <t>Bouaké</t>
        </is>
      </c>
      <c r="B7" s="25" t="inlineStr"/>
      <c r="C7" s="5" t="inlineStr">
        <is>
          <t>Jeu. 14 janvier</t>
        </is>
      </c>
      <c r="D7" s="25" t="inlineStr"/>
      <c r="E7" s="25" t="inlineStr"/>
      <c r="F7" s="25" t="inlineStr"/>
      <c r="G7" s="25" t="inlineStr"/>
      <c r="H7" s="25" t="inlineStr"/>
    </row>
    <row r="8" ht="30" customHeight="1">
      <c r="A8" s="8" t="inlineStr">
        <is>
          <t>San Pedro</t>
        </is>
      </c>
      <c r="B8" s="25" t="inlineStr"/>
      <c r="C8" s="9" t="inlineStr">
        <is>
          <t>Ven. 15 janvier</t>
        </is>
      </c>
      <c r="D8" s="25" t="inlineStr"/>
      <c r="E8" s="25" t="inlineStr"/>
      <c r="F8" s="25" t="inlineStr"/>
      <c r="G8" s="25" t="inlineStr"/>
      <c r="H8" s="25" t="inlineStr"/>
    </row>
    <row r="9" ht="30" customHeight="1">
      <c r="A9" s="4" t="inlineStr">
        <is>
          <t>Daloa</t>
        </is>
      </c>
      <c r="B9" s="25" t="inlineStr"/>
      <c r="C9" s="5" t="inlineStr">
        <is>
          <t>Lun. 11 janvier</t>
        </is>
      </c>
      <c r="D9" s="25" t="inlineStr"/>
      <c r="E9" s="25" t="inlineStr"/>
      <c r="F9" s="25" t="inlineStr"/>
      <c r="G9" s="25" t="inlineStr"/>
      <c r="H9" s="25" t="inlineStr"/>
    </row>
    <row r="10" ht="30" customHeight="1">
      <c r="A10" s="8" t="inlineStr">
        <is>
          <t>Korhogo</t>
        </is>
      </c>
      <c r="B10" s="25" t="inlineStr"/>
      <c r="C10" s="9" t="inlineStr">
        <is>
          <t>Sam. 16 janvier</t>
        </is>
      </c>
      <c r="D10" s="25" t="inlineStr"/>
      <c r="E10" s="25" t="inlineStr"/>
      <c r="F10" s="25" t="inlineStr"/>
      <c r="G10" s="25" t="inlineStr"/>
      <c r="H10" s="25" t="inlineStr"/>
    </row>
    <row r="11">
      <c r="A11" s="12" t="inlineStr">
        <is>
          <t>Total</t>
        </is>
      </c>
      <c r="B11" s="12">
        <f>SUM(B5:B10)</f>
        <v/>
      </c>
      <c r="C11" s="12" t="n"/>
      <c r="D11" s="12">
        <f>SUM(D5:D10)</f>
        <v/>
      </c>
      <c r="E11" s="12">
        <f>SUM(E5:E10)</f>
        <v/>
      </c>
      <c r="F11" s="12" t="n"/>
      <c r="G11" s="12">
        <f>SUM(G5:G10)</f>
        <v/>
      </c>
      <c r="H11" s="12">
        <f>SUM(H5:H10)</f>
        <v/>
      </c>
    </row>
    <row r="13">
      <c r="A13" s="15" t="inlineStr">
        <is>
          <t>Fiche de visite (une ligne par visite dans le tableur des relevés)</t>
        </is>
      </c>
    </row>
    <row r="14" ht="32" customHeight="1">
      <c r="A14" s="3" t="inlineStr">
        <is>
          <t>Date</t>
        </is>
      </c>
      <c r="B14" s="3" t="inlineStr">
        <is>
          <t>Animatrice</t>
        </is>
      </c>
      <c r="C14" s="3" t="inlineStr">
        <is>
          <t>Boutique et quartier</t>
        </is>
      </c>
      <c r="D14" s="3" t="inlineStr">
        <is>
          <t>Formats présents</t>
        </is>
      </c>
      <c r="E14" s="3" t="inlineStr">
        <is>
          <t>Ruptures</t>
        </is>
      </c>
      <c r="F14" s="3" t="inlineStr">
        <is>
          <t>Prix au client (1 L)</t>
        </is>
      </c>
      <c r="G14" s="3" t="inlineStr">
        <is>
          <t>Clients qui demandent Dinor (oui / non)</t>
        </is>
      </c>
      <c r="H14" s="3" t="inlineStr">
        <is>
          <t>Commande transmise au grossiste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1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48" customHeight="1">
      <c r="B1" s="1" t="inlineStr">
        <is>
          <t>Tableau de bord hebdomadaire</t>
        </is>
      </c>
    </row>
    <row r="2">
      <c r="B2" s="2" t="inlineStr">
        <is>
          <t>Une colonne par semaine ; les seuils d'alerte sont ceux du plan marketing</t>
        </is>
      </c>
    </row>
    <row r="4" ht="32" customHeight="1">
      <c r="A4" s="3" t="inlineStr">
        <is>
          <t>Indicateur</t>
        </is>
      </c>
      <c r="B4" s="3" t="inlineStr">
        <is>
          <t>Étape</t>
        </is>
      </c>
      <c r="C4" s="3" t="inlineStr">
        <is>
          <t>Seuil</t>
        </is>
      </c>
      <c r="D4" s="3" t="inlineStr">
        <is>
          <t>S1</t>
        </is>
      </c>
      <c r="E4" s="3" t="inlineStr">
        <is>
          <t>S2</t>
        </is>
      </c>
      <c r="F4" s="3" t="inlineStr">
        <is>
          <t>S3</t>
        </is>
      </c>
      <c r="G4" s="3" t="inlineStr">
        <is>
          <t>S4</t>
        </is>
      </c>
      <c r="H4" s="3" t="inlineStr">
        <is>
          <t>S5</t>
        </is>
      </c>
      <c r="I4" s="3" t="inlineStr">
        <is>
          <t>S6</t>
        </is>
      </c>
      <c r="J4" s="3" t="inlineStr">
        <is>
          <t>S7</t>
        </is>
      </c>
      <c r="K4" s="3" t="inlineStr">
        <is>
          <t>S8</t>
        </is>
      </c>
      <c r="L4" s="3" t="inlineStr">
        <is>
          <t>S9</t>
        </is>
      </c>
      <c r="M4" s="3" t="inlineStr">
        <is>
          <t>S10</t>
        </is>
      </c>
      <c r="N4" s="3" t="inlineStr">
        <is>
          <t>S11</t>
        </is>
      </c>
      <c r="O4" s="3" t="inlineStr">
        <is>
          <t>S12</t>
        </is>
      </c>
      <c r="P4" s="3" t="inlineStr">
        <is>
          <t>S13</t>
        </is>
      </c>
    </row>
    <row r="5" ht="30" customHeight="1">
      <c r="A5" s="4" t="inlineStr">
        <is>
          <t>Grossistes inscrits / invités</t>
        </is>
      </c>
      <c r="B5" s="5" t="inlineStr">
        <is>
          <t>Considération</t>
        </is>
      </c>
      <c r="C5" s="5" t="inlineStr">
        <is>
          <t>60 %</t>
        </is>
      </c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</row>
    <row r="6" ht="30" customHeight="1">
      <c r="A6" s="8" t="inlineStr">
        <is>
          <t>Commandes des grossistes du club vs même semaine 2026</t>
        </is>
      </c>
      <c r="B6" s="9" t="inlineStr">
        <is>
          <t>Décision</t>
        </is>
      </c>
      <c r="C6" s="9" t="inlineStr">
        <is>
          <t>+5 % au 29 janvier</t>
        </is>
      </c>
      <c r="D6" s="25" t="n"/>
      <c r="E6" s="25" t="n"/>
      <c r="F6" s="25" t="n"/>
      <c r="G6" s="25" t="n"/>
      <c r="H6" s="25" t="n"/>
      <c r="I6" s="25" t="n"/>
      <c r="J6" s="25" t="n"/>
      <c r="K6" s="25" t="n"/>
      <c r="L6" s="25" t="n"/>
      <c r="M6" s="25" t="n"/>
      <c r="N6" s="25" t="n"/>
      <c r="O6" s="25" t="n"/>
      <c r="P6" s="25" t="n"/>
    </row>
    <row r="7" ht="30" customHeight="1">
      <c r="A7" s="4" t="inlineStr">
        <is>
          <t>Boutiques équipées / prévues</t>
        </is>
      </c>
      <c r="B7" s="5" t="inlineStr">
        <is>
          <t>Considération</t>
        </is>
      </c>
      <c r="C7" s="5" t="inlineStr">
        <is>
          <t>80 % au 7 février</t>
        </is>
      </c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25" t="n"/>
    </row>
    <row r="8" ht="30" customHeight="1">
      <c r="A8" s="8" t="inlineStr">
        <is>
          <t>Visites sans rupture des petits formats</t>
        </is>
      </c>
      <c r="B8" s="9" t="inlineStr">
        <is>
          <t>Décision</t>
        </is>
      </c>
      <c r="C8" s="9" t="inlineStr">
        <is>
          <t>80 %</t>
        </is>
      </c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</row>
    <row r="9" ht="30" customHeight="1">
      <c r="A9" s="4" t="inlineStr">
        <is>
          <t>Boutiques actives dans le challenge</t>
        </is>
      </c>
      <c r="B9" s="5" t="inlineStr">
        <is>
          <t>Fidélisation</t>
        </is>
      </c>
      <c r="C9" s="5" t="inlineStr">
        <is>
          <t>50 % des inscrites</t>
        </is>
      </c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  <c r="O9" s="25" t="n"/>
      <c r="P9" s="25" t="n"/>
    </row>
    <row r="10" ht="30" customHeight="1">
      <c r="A10" s="8" t="inlineStr">
        <is>
          <t>Boutiquiers qui disent que les clients demandent Dinor</t>
        </is>
      </c>
      <c r="B10" s="9" t="inlineStr">
        <is>
          <t>Découverte</t>
        </is>
      </c>
      <c r="C10" s="9" t="inlineStr">
        <is>
          <t>en hausse entre S1 et S12</t>
        </is>
      </c>
      <c r="D10" s="25" t="n"/>
      <c r="E10" s="25" t="n"/>
      <c r="F10" s="25" t="n"/>
      <c r="G10" s="25" t="n"/>
      <c r="H10" s="25" t="n"/>
      <c r="I10" s="25" t="n"/>
      <c r="J10" s="25" t="n"/>
      <c r="K10" s="25" t="n"/>
      <c r="L10" s="25" t="n"/>
      <c r="M10" s="25" t="n"/>
      <c r="N10" s="25" t="n"/>
      <c r="O10" s="25" t="n"/>
      <c r="P10" s="25" t="n"/>
    </row>
    <row r="11" ht="30" customHeight="1">
      <c r="A11" s="4" t="inlineStr">
        <is>
          <t>Coût par vue de 10 secondes des vidéos</t>
        </is>
      </c>
      <c r="B11" s="5" t="inlineStr">
        <is>
          <t>Découverte</t>
        </is>
      </c>
      <c r="C11" s="5" t="inlineStr">
        <is>
          <t>coupe des plus chères à 7 jours</t>
        </is>
      </c>
      <c r="D11" s="25" t="n"/>
      <c r="E11" s="25" t="n"/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O11" s="25" t="n"/>
      <c r="P11" s="25" t="n"/>
    </row>
    <row r="12" ht="30" customHeight="1">
      <c r="A12" s="8" t="inlineStr">
        <is>
          <t>Budget engagé cumulé</t>
        </is>
      </c>
      <c r="B12" s="9" t="inlineStr">
        <is>
          <t>Pilotage</t>
        </is>
      </c>
      <c r="C12" s="9" t="inlineStr"/>
      <c r="D12" s="19">
        <f>Calendrier!B16</f>
        <v/>
      </c>
      <c r="E12" s="19">
        <f>Calendrier!C16</f>
        <v/>
      </c>
      <c r="F12" s="19">
        <f>Calendrier!D16</f>
        <v/>
      </c>
      <c r="G12" s="19">
        <f>Calendrier!E16</f>
        <v/>
      </c>
      <c r="H12" s="19">
        <f>Calendrier!F16</f>
        <v/>
      </c>
      <c r="I12" s="19">
        <f>Calendrier!G16</f>
        <v/>
      </c>
      <c r="J12" s="19">
        <f>Calendrier!H16</f>
        <v/>
      </c>
      <c r="K12" s="19">
        <f>Calendrier!I16</f>
        <v/>
      </c>
      <c r="L12" s="19">
        <f>Calendrier!J16</f>
        <v/>
      </c>
      <c r="M12" s="19">
        <f>Calendrier!K16</f>
        <v/>
      </c>
      <c r="N12" s="19">
        <f>Calendrier!L16</f>
        <v/>
      </c>
      <c r="O12" s="19">
        <f>Calendrier!M16</f>
        <v/>
      </c>
      <c r="P12" s="19">
        <f>Calendrier!N16</f>
        <v/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2026-10-21T14:55:11Z</dcterms:created>
  <dcterms:modified xmlns:dcterms="http://purl.org/dc/terms/" xmlns:xsi="http://www.w3.org/2001/XMLSchema-instance" xsi:type="dcterms:W3CDTF">2026-10-21T14:55:11Z</dcterms:modified>
</cp:coreProperties>
</file>