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Par canal" sheetId="2" state="visible" r:id="rId2"/>
  </sheets>
  <definedNames>
    <definedName name="_xlnm._FilterDatabase" localSheetId="0" hidden="1">'Budget'!$A$6:$J$12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%"/>
  </numFmts>
  <fonts count="8">
    <font>
      <name val="Calibri"/>
      <family val="2"/>
      <color theme="1"/>
      <sz val="11"/>
      <scheme val="minor"/>
    </font>
    <font>
      <name val="Baloo 2"/>
      <b val="1"/>
      <color rgb="FFE50046"/>
      <sz val="16"/>
    </font>
    <font>
      <name val="Nunito"/>
      <color rgb="FF5B6168"/>
      <sz val="10"/>
    </font>
    <font>
      <name val="Nunito"/>
      <b val="1"/>
      <color rgb="FF1F2328"/>
      <sz val="10"/>
    </font>
    <font>
      <name val="Nunito"/>
      <b val="1"/>
      <color rgb="FFFFFFFF"/>
      <sz val="10"/>
    </font>
    <font>
      <name val="Nunito"/>
      <color rgb="FF1F2328"/>
      <sz val="10"/>
    </font>
    <font>
      <name val="Nunito"/>
      <b val="1"/>
      <color rgb="FF000000"/>
      <sz val="10"/>
    </font>
    <font>
      <name val="Nunito"/>
      <i val="1"/>
      <color rgb="FF5B6168"/>
      <sz val="8"/>
    </font>
  </fonts>
  <fills count="5">
    <fill>
      <patternFill/>
    </fill>
    <fill>
      <patternFill patternType="gray125"/>
    </fill>
    <fill>
      <patternFill patternType="solid">
        <fgColor rgb="FFFEF7E0"/>
      </patternFill>
    </fill>
    <fill>
      <patternFill patternType="solid">
        <fgColor rgb="FFE50046"/>
      </patternFill>
    </fill>
    <fill>
      <patternFill patternType="solid">
        <fgColor rgb="FFFDEBF0"/>
      </patternFill>
    </fill>
  </fills>
  <borders count="3">
    <border>
      <left/>
      <right/>
      <top/>
      <bottom/>
      <diagonal/>
    </border>
    <border>
      <bottom style="thin">
        <color rgb="FFF8BFD1"/>
      </bottom>
    </border>
    <border>
      <top style="medium">
        <color rgb="FFE50046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4" fontId="5" fillId="2" borderId="1" pivotButton="0" quotePrefix="0" xfId="0"/>
    <xf numFmtId="0" fontId="5" fillId="2" borderId="1" pivotButton="0" quotePrefix="0" xfId="0"/>
    <xf numFmtId="0" fontId="6" fillId="4" borderId="2" pivotButton="0" quotePrefix="0" xfId="0"/>
    <xf numFmtId="164" fontId="6" fillId="4" borderId="2" pivotButton="0" quotePrefix="0" xfId="0"/>
    <xf numFmtId="164" fontId="3" fillId="2" borderId="0" pivotButton="0" quotePrefix="0" xfId="0"/>
    <xf numFmtId="1" fontId="3" fillId="2" borderId="0" pivotButton="0" quotePrefix="0" xfId="0"/>
    <xf numFmtId="165" fontId="0" fillId="0" borderId="0" pivotButton="0" quotePrefix="0" xfId="0"/>
    <xf numFmtId="0" fontId="7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name val="Nunito"/>
        <b val="1"/>
        <color rgb="FFB42318"/>
        <sz val="10"/>
      </font>
      <fill>
        <patternFill patternType="solid">
          <fgColor rgb="FFFDE2E1"/>
        </patternFill>
      </fill>
    </dxf>
    <dxf>
      <font>
        <name val="Nunito"/>
        <b val="1"/>
        <color rgb="FFB42318"/>
        <sz val="10"/>
      </font>
    </dxf>
    <dxf>
      <font>
        <name val="Nunito"/>
        <color rgb="FF1A7F37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41910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6" customWidth="1" min="9" max="9"/>
    <col width="30" customWidth="1" min="10" max="10"/>
  </cols>
  <sheetData>
    <row r="1" ht="22" customHeight="1">
      <c r="D1" s="1" t="inlineStr">
        <is>
          <t>Budget de campagne : Rio Pop, rien n'te stop ! Fêtes 2026</t>
        </is>
      </c>
    </row>
    <row r="2" ht="20" customHeight="1">
      <c r="D2" s="2" t="inlineStr">
        <is>
          <t>UNI-2026-Q4, du 02/11/2026 au 31/12/2026, montants en FCFA</t>
        </is>
      </c>
    </row>
    <row r="4">
      <c r="A4" s="3" t="inlineStr">
        <is>
          <t>Seuil d'alerte de dépassement</t>
        </is>
      </c>
      <c r="C4" s="4" t="n">
        <v>0.05</v>
      </c>
      <c r="D4" s="2" t="inlineStr">
        <is>
          <t>Cellule à saisir : un poste engagé au-delà de son prévu plus ce seuil passe en rouge.</t>
        </is>
      </c>
    </row>
    <row r="6" ht="30" customHeight="1">
      <c r="A6" s="5" t="inlineStr">
        <is>
          <t>Famille</t>
        </is>
      </c>
      <c r="B6" s="5" t="inlineStr">
        <is>
          <t>Poste</t>
        </is>
      </c>
      <c r="C6" s="5" t="inlineStr">
        <is>
          <t>Canal</t>
        </is>
      </c>
      <c r="D6" s="5" t="inlineStr">
        <is>
          <t>Prévu</t>
        </is>
      </c>
      <c r="E6" s="5" t="inlineStr">
        <is>
          <t>Engagé</t>
        </is>
      </c>
      <c r="F6" s="5" t="inlineStr">
        <is>
          <t>Payé</t>
        </is>
      </c>
      <c r="G6" s="5" t="inlineStr">
        <is>
          <t>Reste à payer</t>
        </is>
      </c>
      <c r="H6" s="5" t="inlineStr">
        <is>
          <t>Écart engagé</t>
        </is>
      </c>
      <c r="I6" s="5" t="inlineStr">
        <is>
          <t>Statut</t>
        </is>
      </c>
      <c r="J6" s="5" t="inlineStr">
        <is>
          <t>Fournisseur et source</t>
        </is>
      </c>
    </row>
    <row r="7">
      <c r="A7" s="6" t="inlineStr">
        <is>
          <t>Achat d'espace</t>
        </is>
      </c>
      <c r="B7" s="6" t="inlineStr">
        <is>
          <t>Facebook et Instagram, publicité</t>
        </is>
      </c>
      <c r="C7" s="6" t="inlineStr">
        <is>
          <t>Facebook et Instagram</t>
        </is>
      </c>
      <c r="D7" s="7" t="n">
        <v>9000000</v>
      </c>
      <c r="E7" s="8" t="n"/>
      <c r="F7" s="8" t="n"/>
      <c r="G7" s="7">
        <f>IF(E7="","",E7-F7)</f>
        <v/>
      </c>
      <c r="H7" s="7">
        <f>IF(E7="","",E7-D7)</f>
        <v/>
      </c>
      <c r="I7" s="9" t="inlineStr">
        <is>
          <t>Prévu</t>
        </is>
      </c>
      <c r="J7" s="6" t="inlineStr">
        <is>
          <t>FICTIF : enveloppe du socle, devis Meta non applicable (enchères)</t>
        </is>
      </c>
    </row>
    <row r="8">
      <c r="A8" s="6" t="inlineStr">
        <is>
          <t>Achat d'espace</t>
        </is>
      </c>
      <c r="B8" s="6" t="inlineStr">
        <is>
          <t>TikTok, compte, contenus et boost</t>
        </is>
      </c>
      <c r="C8" s="6" t="inlineStr">
        <is>
          <t>TikTok</t>
        </is>
      </c>
      <c r="D8" s="7" t="n">
        <v>5000000</v>
      </c>
      <c r="E8" s="8" t="n"/>
      <c r="F8" s="8" t="n"/>
      <c r="G8" s="7">
        <f>IF(E8="","",E8-F8)</f>
        <v/>
      </c>
      <c r="H8" s="7">
        <f>IF(E8="","",E8-D8)</f>
        <v/>
      </c>
      <c r="I8" s="9" t="inlineStr">
        <is>
          <t>Prévu</t>
        </is>
      </c>
      <c r="J8" s="6" t="inlineStr">
        <is>
          <t>FICTIF : enveloppe du socle</t>
        </is>
      </c>
    </row>
    <row r="9">
      <c r="A9" s="6" t="inlineStr">
        <is>
          <t>Achat d'espace</t>
        </is>
      </c>
      <c r="B9" s="6" t="inlineStr">
        <is>
          <t>Radio Nostalgie et Radio JAM</t>
        </is>
      </c>
      <c r="C9" s="6" t="inlineStr">
        <is>
          <t>Radio</t>
        </is>
      </c>
      <c r="D9" s="7" t="n">
        <v>7000000</v>
      </c>
      <c r="E9" s="8" t="n"/>
      <c r="F9" s="8" t="n"/>
      <c r="G9" s="7">
        <f>IF(E9="","",E9-F9)</f>
        <v/>
      </c>
      <c r="H9" s="7">
        <f>IF(E9="","",E9-D9)</f>
        <v/>
      </c>
      <c r="I9" s="9" t="inlineStr">
        <is>
          <t>Prévu</t>
        </is>
      </c>
      <c r="J9" s="6" t="inlineStr">
        <is>
          <t>FICTIF : enveloppe du socle, tarifs régie à confirmer</t>
        </is>
      </c>
    </row>
    <row r="10">
      <c r="A10" s="6" t="inlineStr">
        <is>
          <t>Achat d'espace</t>
        </is>
      </c>
      <c r="B10" s="6" t="inlineStr">
        <is>
          <t>Affichage et kakémonos points de vente</t>
        </is>
      </c>
      <c r="C10" s="6" t="inlineStr">
        <is>
          <t>Affichage points de vente</t>
        </is>
      </c>
      <c r="D10" s="7" t="n">
        <v>6000000</v>
      </c>
      <c r="E10" s="8" t="n"/>
      <c r="F10" s="8" t="n"/>
      <c r="G10" s="7">
        <f>IF(E10="","",E10-F10)</f>
        <v/>
      </c>
      <c r="H10" s="7">
        <f>IF(E10="","",E10-D10)</f>
        <v/>
      </c>
      <c r="I10" s="9" t="inlineStr">
        <is>
          <t>Prévu</t>
        </is>
      </c>
      <c r="J10" s="6" t="inlineStr">
        <is>
          <t>FICTIF : enveloppe du socle, devis imprimeur à obtenir</t>
        </is>
      </c>
    </row>
    <row r="11">
      <c r="A11" s="6" t="inlineStr">
        <is>
          <t>Production</t>
        </is>
      </c>
      <c r="B11" s="6" t="inlineStr">
        <is>
          <t>Production contenus (Koffi et tournage)</t>
        </is>
      </c>
      <c r="C11" s="6" t="inlineStr"/>
      <c r="D11" s="7" t="n">
        <v>3000000</v>
      </c>
      <c r="E11" s="8" t="n"/>
      <c r="F11" s="8" t="n"/>
      <c r="G11" s="7">
        <f>IF(E11="","",E11-F11)</f>
        <v/>
      </c>
      <c r="H11" s="7">
        <f>IF(E11="","",E11-D11)</f>
        <v/>
      </c>
      <c r="I11" s="9" t="inlineStr">
        <is>
          <t>Prévu</t>
        </is>
      </c>
      <c r="J11" s="6" t="inlineStr">
        <is>
          <t>FICTIF : enveloppe du socle</t>
        </is>
      </c>
    </row>
    <row r="12">
      <c r="A12" s="6" t="inlineStr">
        <is>
          <t>Animation</t>
        </is>
      </c>
      <c r="B12" s="6" t="inlineStr">
        <is>
          <t>Animation terrain marchés Adjamé, Treichville, Yopougon</t>
        </is>
      </c>
      <c r="C12" s="6" t="inlineStr">
        <is>
          <t>Animation terrain</t>
        </is>
      </c>
      <c r="D12" s="7" t="n">
        <v>6000000</v>
      </c>
      <c r="E12" s="8" t="n"/>
      <c r="F12" s="8" t="n"/>
      <c r="G12" s="7">
        <f>IF(E12="","",E12-F12)</f>
        <v/>
      </c>
      <c r="H12" s="7">
        <f>IF(E12="","",E12-D12)</f>
        <v/>
      </c>
      <c r="I12" s="9" t="inlineStr">
        <is>
          <t>Prévu</t>
        </is>
      </c>
      <c r="J12" s="6" t="inlineStr">
        <is>
          <t>FICTIF : enveloppe du socle</t>
        </is>
      </c>
    </row>
    <row r="13">
      <c r="A13" s="6" t="inlineStr">
        <is>
          <t>Interne</t>
        </is>
      </c>
      <c r="B13" s="6" t="inlineStr">
        <is>
          <t>Temps interne (0 jours prévus)</t>
        </is>
      </c>
      <c r="C13" s="6" t="n"/>
      <c r="D13" s="7">
        <f>0*$C$17</f>
        <v/>
      </c>
      <c r="E13" s="7">
        <f>C18*$C$17</f>
        <v/>
      </c>
      <c r="F13" s="6" t="n"/>
      <c r="G13" s="6" t="n"/>
      <c r="H13" s="7">
        <f>IF(E13="","",E13-D13)</f>
        <v/>
      </c>
      <c r="I13" s="6" t="n"/>
      <c r="J13" s="6" t="inlineStr">
        <is>
          <t>FICTIF : temps interne non valorisé dans ce test</t>
        </is>
      </c>
    </row>
    <row r="14">
      <c r="A14" s="6" t="inlineStr">
        <is>
          <t>Réserve</t>
        </is>
      </c>
      <c r="B14" s="6" t="inlineStr">
        <is>
          <t>Imprévu</t>
        </is>
      </c>
      <c r="C14" s="6" t="n"/>
      <c r="D14" s="7">
        <f>ROUND(SUMIF(A7:A12,"&lt;&gt;Interne",D7:D12)*$C$19,0)</f>
        <v/>
      </c>
      <c r="E14" s="7" t="n"/>
      <c r="F14" s="6" t="n"/>
      <c r="G14" s="6" t="n"/>
      <c r="H14" s="7">
        <f>IF(E14="","",E14-D14)</f>
        <v/>
      </c>
      <c r="I14" s="6" t="n"/>
      <c r="J14" s="6" t="inlineStr">
        <is>
          <t>FICTIF : réserve de 2 000 000 FCFA du socle</t>
        </is>
      </c>
    </row>
    <row r="15">
      <c r="A15" s="10" t="inlineStr">
        <is>
          <t>Total</t>
        </is>
      </c>
      <c r="B15" s="10" t="n"/>
      <c r="C15" s="10" t="n"/>
      <c r="D15" s="11">
        <f>SUM(D7:D14)</f>
        <v/>
      </c>
      <c r="E15" s="11">
        <f>SUM(E7:E14)</f>
        <v/>
      </c>
      <c r="F15" s="11">
        <f>SUM(F7:F14)</f>
        <v/>
      </c>
      <c r="G15" s="11">
        <f>SUM(G7:G14)</f>
        <v/>
      </c>
      <c r="H15" s="11">
        <f>E15-D15</f>
        <v/>
      </c>
      <c r="I15" s="10" t="n"/>
      <c r="J15" s="10" t="n"/>
    </row>
    <row r="17">
      <c r="A17" s="3" t="inlineStr">
        <is>
          <t>Taux journalier interne</t>
        </is>
      </c>
      <c r="C17" s="12" t="n">
        <v>0</v>
      </c>
    </row>
    <row r="18">
      <c r="A18" s="3" t="inlineStr">
        <is>
          <t>Jours internes consommés</t>
        </is>
      </c>
      <c r="C18" s="13" t="n">
        <v>0</v>
      </c>
    </row>
    <row r="19">
      <c r="A19" s="3" t="inlineStr">
        <is>
          <t>Part d'imprévu</t>
        </is>
      </c>
      <c r="C19" s="4" t="n">
        <v>0.05555555555555555</v>
      </c>
    </row>
    <row r="20">
      <c r="A20" s="3" t="inlineStr">
        <is>
          <t>Contrôle</t>
        </is>
      </c>
      <c r="C20" s="3">
        <f>IF(D15=38000000,"Total prévu = plan de campagne validé","ÉCART AVEC LE PLAN VALIDÉ")</f>
        <v/>
      </c>
    </row>
    <row r="21">
      <c r="A21" s="3" t="inlineStr">
        <is>
          <t>Budget consommé</t>
        </is>
      </c>
      <c r="C21" s="14">
        <f>IF(D15=0,0,E15/D15)</f>
        <v/>
      </c>
    </row>
    <row r="24">
      <c r="A24" s="15" t="inlineStr">
        <is>
          <t>UNIFOOD SARL, Rue Ghandour, zone industrielle de Koumassi, 10 BP 979 Abidjan 10, Côte d'Ivoire. FICTIF : document de test, chiffres internes inventés.</t>
        </is>
      </c>
    </row>
    <row r="25">
      <c r="A25" s="15" t="inlineStr">
        <is>
          <t>Document de travail FICTIF, réservé à la direction marketing.</t>
        </is>
      </c>
    </row>
  </sheetData>
  <autoFilter ref="A6:J12"/>
  <conditionalFormatting sqref="A7:J12">
    <cfRule type="expression" priority="1" dxfId="0">
      <formula>AND($E7&lt;&gt;"",$E7&gt;$D7*(1+$C$4))</formula>
    </cfRule>
  </conditionalFormatting>
  <conditionalFormatting sqref="F7:F12">
    <cfRule type="expression" priority="2" dxfId="1">
      <formula>AND($F7&lt;&gt;"",$F7&gt;$E7)</formula>
    </cfRule>
  </conditionalFormatting>
  <conditionalFormatting sqref="H7:H15">
    <cfRule type="cellIs" priority="3" operator="lessThan" dxfId="2">
      <formula>0</formula>
    </cfRule>
  </conditionalFormatting>
  <dataValidations count="1">
    <dataValidation sqref="I7:I12" showDropDown="0" showInputMessage="0" showErrorMessage="1" allowBlank="1" errorTitle="Statut" error="Choisissez un statut de la liste." type="list">
      <formula1>"Prévu,Commandé,Facturé,Payé,Annulé"</formula1>
    </dataValidation>
  </dataValidations>
  <pageMargins left="0.75" right="0.75" top="1" bottom="1" header="0.5" footer="0.5"/>
  <headerFooter>
    <oddHeader/>
    <oddFooter>&amp;LUNIFOOD&amp;RPage &amp;P sur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4" customWidth="1" min="4" max="4"/>
    <col width="4" customWidth="1" min="5" max="5"/>
  </cols>
  <sheetData>
    <row r="1" ht="22" customHeight="1">
      <c r="D1" s="1" t="inlineStr">
        <is>
          <t>Budget par canal</t>
        </is>
      </c>
    </row>
    <row r="2" ht="20" customHeight="1">
      <c r="D2" s="2" t="inlineStr">
        <is>
          <t>Achat d'espace et animation, calculé depuis l'onglet Budget</t>
        </is>
      </c>
    </row>
    <row r="5" ht="30" customHeight="1">
      <c r="A5" s="5" t="inlineStr">
        <is>
          <t>Canal</t>
        </is>
      </c>
      <c r="B5" s="5" t="inlineStr">
        <is>
          <t>Prévu</t>
        </is>
      </c>
      <c r="C5" s="5" t="inlineStr">
        <is>
          <t>Engagé</t>
        </is>
      </c>
      <c r="D5" s="5" t="inlineStr">
        <is>
          <t>Part du prévu</t>
        </is>
      </c>
    </row>
    <row r="6">
      <c r="A6" s="6" t="inlineStr">
        <is>
          <t>Facebook et Instagram</t>
        </is>
      </c>
      <c r="B6" s="16">
        <f>SUMIF(Budget!$C$7:$C$12,A6,Budget!$D$7:$D$12)</f>
        <v/>
      </c>
      <c r="C6" s="16">
        <f>SUMIF(Budget!$C$7:$C$12,A6,Budget!$E$7:$E$12)</f>
        <v/>
      </c>
      <c r="D6" s="17">
        <f>IF(SUM($B$6:$B$10)=0,0,B6/SUM($B$6:$B$10))</f>
        <v/>
      </c>
    </row>
    <row r="7">
      <c r="A7" s="6" t="inlineStr">
        <is>
          <t>TikTok</t>
        </is>
      </c>
      <c r="B7" s="16">
        <f>SUMIF(Budget!$C$7:$C$12,A7,Budget!$D$7:$D$12)</f>
        <v/>
      </c>
      <c r="C7" s="16">
        <f>SUMIF(Budget!$C$7:$C$12,A7,Budget!$E$7:$E$12)</f>
        <v/>
      </c>
      <c r="D7" s="17">
        <f>IF(SUM($B$6:$B$10)=0,0,B7/SUM($B$6:$B$10))</f>
        <v/>
      </c>
    </row>
    <row r="8">
      <c r="A8" s="6" t="inlineStr">
        <is>
          <t>Radio</t>
        </is>
      </c>
      <c r="B8" s="16">
        <f>SUMIF(Budget!$C$7:$C$12,A8,Budget!$D$7:$D$12)</f>
        <v/>
      </c>
      <c r="C8" s="16">
        <f>SUMIF(Budget!$C$7:$C$12,A8,Budget!$E$7:$E$12)</f>
        <v/>
      </c>
      <c r="D8" s="17">
        <f>IF(SUM($B$6:$B$10)=0,0,B8/SUM($B$6:$B$10))</f>
        <v/>
      </c>
    </row>
    <row r="9">
      <c r="A9" s="6" t="inlineStr">
        <is>
          <t>Affichage points de vente</t>
        </is>
      </c>
      <c r="B9" s="16">
        <f>SUMIF(Budget!$C$7:$C$12,A9,Budget!$D$7:$D$12)</f>
        <v/>
      </c>
      <c r="C9" s="16">
        <f>SUMIF(Budget!$C$7:$C$12,A9,Budget!$E$7:$E$12)</f>
        <v/>
      </c>
      <c r="D9" s="17">
        <f>IF(SUM($B$6:$B$10)=0,0,B9/SUM($B$6:$B$10))</f>
        <v/>
      </c>
    </row>
    <row r="10">
      <c r="A10" s="6" t="inlineStr">
        <is>
          <t>Animation terrain</t>
        </is>
      </c>
      <c r="B10" s="16">
        <f>SUMIF(Budget!$C$7:$C$12,A10,Budget!$D$7:$D$12)</f>
        <v/>
      </c>
      <c r="C10" s="16">
        <f>SUMIF(Budget!$C$7:$C$12,A10,Budget!$E$7:$E$12)</f>
        <v/>
      </c>
      <c r="D10" s="17">
        <f>IF(SUM($B$6:$B$10)=0,0,B10/SUM($B$6:$B$10))</f>
        <v/>
      </c>
    </row>
    <row r="13">
      <c r="A13" s="15" t="inlineStr">
        <is>
          <t>UNIFOOD SARL, Rue Ghandour, zone industrielle de Koumassi, 10 BP 979 Abidjan 10, Côte d'Ivoire. FICTIF : document de test, chiffres internes inventés.</t>
        </is>
      </c>
    </row>
    <row r="14">
      <c r="A14" s="15" t="inlineStr">
        <is>
          <t>Document de travail FICTIF, réservé à la direction marketing.</t>
        </is>
      </c>
    </row>
  </sheetData>
  <pageMargins left="0.75" right="0.75" top="1" bottom="1" header="0.5" footer="0.5"/>
  <headerFooter>
    <oddHeader/>
    <oddFooter>&amp;LUNIFOOD&amp;RPage &amp;P sur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2026-10-16T10:47:30Z</dcterms:created>
  <dcterms:modified xmlns:dcterms="http://purl.org/dc/terms/" xmlns:xsi="http://www.w3.org/2001/XMLSchema-instance" xsi:type="dcterms:W3CDTF">2026-10-16T10:47:30Z</dcterms:modified>
</cp:coreProperties>
</file>