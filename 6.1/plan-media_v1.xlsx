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artition budget" sheetId="1" state="visible" r:id="rId1"/>
    <sheet xmlns:r="http://schemas.openxmlformats.org/officeDocument/2006/relationships" name="Calendrier de diffusion" sheetId="2" state="visible" r:id="rId2"/>
    <sheet xmlns:r="http://schemas.openxmlformats.org/officeDocument/2006/relationships" name="Radio, grille régies" sheetId="3" state="visible" r:id="rId3"/>
    <sheet xmlns:r="http://schemas.openxmlformats.org/officeDocument/2006/relationships" name="Eng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i val="1"/>
      <color rgb="007A5C66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6" customWidth="1" min="3" max="3"/>
    <col width="40" customWidth="1" min="4" max="4"/>
    <col width="20" customWidth="1" min="5" max="5"/>
    <col width="10" customWidth="1" min="6" max="6"/>
    <col width="16" customWidth="1" min="7" max="7"/>
    <col width="16" customWidth="1" min="8" max="8"/>
    <col width="14" customWidth="1" min="9" max="9"/>
    <col width="30" customWidth="1" min="10" max="10"/>
    <col width="13" customWidth="1" min="11" max="11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Plan média UNI-2026-Q4 Rio Pop Fêtes 2026 : répartition du budget FICTIF de 38 000 000 FCFA TTC</t>
        </is>
      </c>
      <c r="K2">
        <f>IMAGE("https://raw.githubusercontent.com/leslita06/fatima-unifood-fictif/main/assets/Logo_unifood.png")</f>
        <v/>
      </c>
    </row>
    <row r="4">
      <c r="A4" s="3" t="inlineStr">
        <is>
          <t>Poste</t>
        </is>
      </c>
      <c r="B4" s="3" t="inlineStr">
        <is>
          <t>Rôle dans l'entonnoir</t>
        </is>
      </c>
      <c r="C4" s="3" t="inlineStr">
        <is>
          <t>Cible et zone</t>
        </is>
      </c>
      <c r="D4" s="3" t="inlineStr">
        <is>
          <t>Achat via</t>
        </is>
      </c>
      <c r="E4" s="3" t="inlineStr">
        <is>
          <t>Montant FCFA TTC (FICTIF)</t>
        </is>
      </c>
      <c r="F4" s="3" t="inlineStr">
        <is>
          <t>Part</t>
        </is>
      </c>
      <c r="G4" s="3" t="inlineStr">
        <is>
          <t>Novembre</t>
        </is>
      </c>
      <c r="H4" s="3" t="inlineStr">
        <is>
          <t>Décembre</t>
        </is>
      </c>
      <c r="I4" s="3" t="inlineStr">
        <is>
          <t>Statut</t>
        </is>
      </c>
      <c r="J4" s="3" t="inlineStr">
        <is>
          <t>Source du montant</t>
        </is>
      </c>
    </row>
    <row r="5">
      <c r="A5" s="4" t="inlineStr">
        <is>
          <t>Facebook et Instagram Ads</t>
        </is>
      </c>
      <c r="B5" s="4" t="inlineStr">
        <is>
          <t>Se faire connaître + faire considérer</t>
        </is>
      </c>
      <c r="C5" s="4" t="inlineStr">
        <is>
          <t>Mamans 25-45 ans, Abidjan + 3 villes</t>
        </is>
      </c>
      <c r="D5" s="4" t="inlineStr">
        <is>
          <t>Meta Ads Manager (libre-service)</t>
        </is>
      </c>
      <c r="E5" s="7" t="n">
        <v>9000000</v>
      </c>
      <c r="F5" s="8">
        <f>E5/E$12</f>
        <v/>
      </c>
      <c r="G5" s="7">
        <f>E5*0.45</f>
        <v/>
      </c>
      <c r="H5" s="7">
        <f>E5*0.55</f>
        <v/>
      </c>
      <c r="I5" s="4" t="inlineStr">
        <is>
          <t>Non engagé</t>
        </is>
      </c>
      <c r="J5" s="4" t="inlineStr">
        <is>
          <t>enveloppe du socle FICTIF</t>
        </is>
      </c>
    </row>
    <row r="6">
      <c r="A6" s="5" t="inlineStr">
        <is>
          <t>TikTok (création du compte, contenus, boost)</t>
        </is>
      </c>
      <c r="B6" s="5" t="inlineStr">
        <is>
          <t>Se faire connaître</t>
        </is>
      </c>
      <c r="C6" s="5" t="inlineStr">
        <is>
          <t>Ados 13-17 ans (exclusion des moins de 13 ans)</t>
        </is>
      </c>
      <c r="D6" s="5" t="inlineStr">
        <is>
          <t>TikTok Ads (libre-service)</t>
        </is>
      </c>
      <c r="E6" s="9" t="n">
        <v>5000000</v>
      </c>
      <c r="F6" s="10">
        <f>E6/E$12</f>
        <v/>
      </c>
      <c r="G6" s="9">
        <f>E6*0.5</f>
        <v/>
      </c>
      <c r="H6" s="9">
        <f>E6*0.5</f>
        <v/>
      </c>
      <c r="I6" s="5" t="inlineStr">
        <is>
          <t>Non engagé</t>
        </is>
      </c>
      <c r="J6" s="5" t="inlineStr">
        <is>
          <t>enveloppe du socle FICTIF</t>
        </is>
      </c>
    </row>
    <row r="7">
      <c r="A7" s="4" t="inlineStr">
        <is>
          <t>Radio (Nostalgie, Radio JAM)</t>
        </is>
      </c>
      <c r="B7" s="4" t="inlineStr">
        <is>
          <t>Se faire connaître</t>
        </is>
      </c>
      <c r="C7" s="4" t="inlineStr">
        <is>
          <t>Mamans, tranche du matin ; villes de l'intérieur</t>
        </is>
      </c>
      <c r="D7" s="4" t="inlineStr">
        <is>
          <t>Régies radio via Médiaplus Abidjan (FICTIF)</t>
        </is>
      </c>
      <c r="E7" s="7" t="n">
        <v>7000000</v>
      </c>
      <c r="F7" s="8">
        <f>E7/E$12</f>
        <v/>
      </c>
      <c r="G7" s="7">
        <f>E7*0.4</f>
        <v/>
      </c>
      <c r="H7" s="7">
        <f>E7*0.6</f>
        <v/>
      </c>
      <c r="I7" s="4" t="inlineStr">
        <is>
          <t>Non engagé</t>
        </is>
      </c>
      <c r="J7" s="4" t="inlineStr">
        <is>
          <t>enveloppe du socle FICTIF</t>
        </is>
      </c>
    </row>
    <row r="8">
      <c r="A8" s="5" t="inlineStr">
        <is>
          <t>Affichage et kakémonos points de vente</t>
        </is>
      </c>
      <c r="B8" s="5" t="inlineStr">
        <is>
          <t>Faire acheter</t>
        </is>
      </c>
      <c r="C8" s="5" t="inlineStr">
        <is>
          <t>Boutiquiers et clients au comptoir</t>
        </is>
      </c>
      <c r="D8" s="5" t="inlineStr">
        <is>
          <t>Imprimeur ⟦à consulter⟧ + pose par l'équipe commerciale</t>
        </is>
      </c>
      <c r="E8" s="9" t="n">
        <v>6000000</v>
      </c>
      <c r="F8" s="10">
        <f>E8/E$12</f>
        <v/>
      </c>
      <c r="G8" s="9">
        <f>E8*0.8</f>
        <v/>
      </c>
      <c r="H8" s="9">
        <f>E8*0.2</f>
        <v/>
      </c>
      <c r="I8" s="5" t="inlineStr">
        <is>
          <t>Non engagé</t>
        </is>
      </c>
      <c r="J8" s="5" t="inlineStr">
        <is>
          <t>enveloppe du socle FICTIF</t>
        </is>
      </c>
    </row>
    <row r="9">
      <c r="A9" s="4" t="inlineStr">
        <is>
          <t>Animation terrain marchés (Adjamé, Treichville, Yopougon)</t>
        </is>
      </c>
      <c r="B9" s="4" t="inlineStr">
        <is>
          <t>Faire acheter</t>
        </is>
      </c>
      <c r="C9" s="4" t="inlineStr">
        <is>
          <t>Demi-grossistes et boutiquiers</t>
        </is>
      </c>
      <c r="D9" s="4" t="inlineStr">
        <is>
          <t>Prestataire animation ⟦à consulter⟧, avec Djénéba (Yelema)</t>
        </is>
      </c>
      <c r="E9" s="7" t="n">
        <v>6000000</v>
      </c>
      <c r="F9" s="8">
        <f>E9/E$12</f>
        <v/>
      </c>
      <c r="G9" s="7">
        <f>E9*0.5</f>
        <v/>
      </c>
      <c r="H9" s="7">
        <f>E9*0.5</f>
        <v/>
      </c>
      <c r="I9" s="4" t="inlineStr">
        <is>
          <t>Non engagé</t>
        </is>
      </c>
      <c r="J9" s="4" t="inlineStr">
        <is>
          <t>enveloppe du socle FICTIF</t>
        </is>
      </c>
    </row>
    <row r="10">
      <c r="A10" s="5" t="inlineStr">
        <is>
          <t>Production contenus (Koffi + tournage)</t>
        </is>
      </c>
      <c r="B10" s="5" t="inlineStr">
        <is>
          <t>Support de tous les étages</t>
        </is>
      </c>
      <c r="C10" s="5" t="inlineStr">
        <is>
          <t>Tous</t>
        </is>
      </c>
      <c r="D10" s="5" t="inlineStr">
        <is>
          <t>Koffi (Yelema) + équipe de tournage ⟦à consulter⟧</t>
        </is>
      </c>
      <c r="E10" s="9" t="n">
        <v>3000000</v>
      </c>
      <c r="F10" s="10">
        <f>E10/E$12</f>
        <v/>
      </c>
      <c r="G10" s="9">
        <f>E10*0.85</f>
        <v/>
      </c>
      <c r="H10" s="9">
        <f>E10*0.15</f>
        <v/>
      </c>
      <c r="I10" s="5" t="inlineStr">
        <is>
          <t>Non engagé</t>
        </is>
      </c>
      <c r="J10" s="5" t="inlineStr">
        <is>
          <t>enveloppe du socle FICTIF</t>
        </is>
      </c>
    </row>
    <row r="11">
      <c r="A11" s="4" t="inlineStr">
        <is>
          <t>Réserve</t>
        </is>
      </c>
      <c r="B11" s="4" t="inlineStr">
        <is>
          <t>Ajustement en cours de campagne</t>
        </is>
      </c>
      <c r="C11" s="4" t="inlineStr"/>
      <c r="D11" s="4" t="inlineStr">
        <is>
          <t>débloquée par la DG au point du 30/11</t>
        </is>
      </c>
      <c r="E11" s="7" t="n">
        <v>2000000</v>
      </c>
      <c r="F11" s="8">
        <f>E11/E$12</f>
        <v/>
      </c>
      <c r="G11" s="7">
        <f>E11*0</f>
        <v/>
      </c>
      <c r="H11" s="7">
        <f>E11*1</f>
        <v/>
      </c>
      <c r="I11" s="4" t="inlineStr">
        <is>
          <t>Non engagé</t>
        </is>
      </c>
      <c r="J11" s="4" t="inlineStr">
        <is>
          <t>enveloppe du socle FICTIF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9">
        <f>SUM(E5:E11)</f>
        <v/>
      </c>
      <c r="F12" s="10">
        <f>SUM(F5:F11)</f>
        <v/>
      </c>
      <c r="G12" s="9">
        <f>SUM(G5:G11)</f>
        <v/>
      </c>
      <c r="H12" s="9">
        <f>SUM(H5:H11)</f>
        <v/>
      </c>
      <c r="I12" s="5" t="inlineStr"/>
      <c r="J12" s="5" t="inlineStr">
        <is>
          <t>contrôle : doit faire 38 000 000</t>
        </is>
      </c>
    </row>
    <row r="13">
      <c r="A13" s="4" t="inlineStr">
        <is>
          <t>Contrôle</t>
        </is>
      </c>
      <c r="B13" s="4" t="inlineStr"/>
      <c r="C13" s="4" t="inlineStr"/>
      <c r="D13" s="4" t="inlineStr"/>
      <c r="E13" s="4">
        <f>IF(E12=38000000,"OK : 38 000 000 FCFA","ÉCART AU BUDGET VALIDÉ")</f>
        <v/>
      </c>
      <c r="F13" s="4" t="inlineStr"/>
      <c r="G13" s="4" t="inlineStr"/>
      <c r="H13" s="4" t="inlineStr"/>
      <c r="I13" s="4" t="inlineStr"/>
      <c r="J13" s="4" t="inlineStr"/>
    </row>
    <row r="15">
      <c r="A15" s="6" t="inlineStr">
        <is>
          <t>FICTIF : budget du socle commun de test, aucune donnée réelle d'Unifood.</t>
        </is>
      </c>
    </row>
    <row r="16">
      <c r="A16" s="6" t="inlineStr">
        <is>
          <t>Rien n'est engagé. Tarifs radio, impression et animation : à obtenir par écrit auprès des régies et prestataires (aucun tarif inventé).</t>
        </is>
      </c>
    </row>
    <row r="17">
      <c r="A17" s="6" t="inlineStr">
        <is>
          <t>Exclusion d'âge à poser dans chaque campagne Meta et TikTok : aucun ciblage des moins de 13 ans.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Calendrier semaine par semaine (02/11 au 31/12/2026)</t>
        </is>
      </c>
      <c r="K2">
        <f>IMAGE("https://raw.githubusercontent.com/leslita06/fatima-unifood-fictif/main/assets/Logo_unifood.png")</f>
        <v/>
      </c>
    </row>
    <row r="4">
      <c r="A4" s="3" t="inlineStr">
        <is>
          <t>Action</t>
        </is>
      </c>
      <c r="B4" s="3" t="inlineStr">
        <is>
          <t>S45 02/11</t>
        </is>
      </c>
      <c r="C4" s="3" t="inlineStr">
        <is>
          <t>S46 09/11</t>
        </is>
      </c>
      <c r="D4" s="3" t="inlineStr">
        <is>
          <t>S47 16/11</t>
        </is>
      </c>
      <c r="E4" s="3" t="inlineStr">
        <is>
          <t>S48 23/11</t>
        </is>
      </c>
      <c r="F4" s="3" t="inlineStr">
        <is>
          <t>S49 30/11</t>
        </is>
      </c>
      <c r="G4" s="3" t="inlineStr">
        <is>
          <t>S50 07/12</t>
        </is>
      </c>
      <c r="H4" s="3" t="inlineStr">
        <is>
          <t>S51 14/12</t>
        </is>
      </c>
      <c r="I4" s="3" t="inlineStr">
        <is>
          <t>S52 21/12</t>
        </is>
      </c>
      <c r="J4" s="3" t="inlineStr">
        <is>
          <t>S53 28/12</t>
        </is>
      </c>
    </row>
    <row r="5">
      <c r="A5" s="4" t="inlineStr">
        <is>
          <t>Facebook et Instagram Ads</t>
        </is>
      </c>
      <c r="B5" s="4" t="inlineStr">
        <is>
          <t>X</t>
        </is>
      </c>
      <c r="C5" s="4" t="inlineStr">
        <is>
          <t>X</t>
        </is>
      </c>
      <c r="D5" s="4" t="inlineStr">
        <is>
          <t>X</t>
        </is>
      </c>
      <c r="E5" s="4" t="inlineStr">
        <is>
          <t>X</t>
        </is>
      </c>
      <c r="F5" s="4" t="inlineStr">
        <is>
          <t>X</t>
        </is>
      </c>
      <c r="G5" s="4" t="inlineStr">
        <is>
          <t>X</t>
        </is>
      </c>
      <c r="H5" s="4" t="inlineStr">
        <is>
          <t>X</t>
        </is>
      </c>
      <c r="I5" s="4" t="inlineStr">
        <is>
          <t>X</t>
        </is>
      </c>
      <c r="J5" s="4" t="inlineStr"/>
    </row>
    <row r="6">
      <c r="A6" s="5" t="inlineStr">
        <is>
          <t>TikTok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  <c r="I6" s="5" t="inlineStr">
        <is>
          <t>X</t>
        </is>
      </c>
      <c r="J6" s="5" t="inlineStr">
        <is>
          <t>X</t>
        </is>
      </c>
    </row>
    <row r="7">
      <c r="A7" s="4" t="inlineStr">
        <is>
          <t>Radio vague 1</t>
        </is>
      </c>
      <c r="B7" s="4" t="inlineStr">
        <is>
          <t>X</t>
        </is>
      </c>
      <c r="C7" s="4" t="inlineStr">
        <is>
          <t>X</t>
        </is>
      </c>
      <c r="D7" s="4" t="inlineStr">
        <is>
          <t>X</t>
        </is>
      </c>
      <c r="E7" s="4" t="inlineStr"/>
      <c r="F7" s="4" t="inlineStr"/>
      <c r="G7" s="4" t="inlineStr"/>
      <c r="H7" s="4" t="inlineStr"/>
      <c r="I7" s="4" t="inlineStr"/>
      <c r="J7" s="4" t="inlineStr"/>
    </row>
    <row r="8">
      <c r="A8" s="5" t="inlineStr">
        <is>
          <t>Radio vague 2</t>
        </is>
      </c>
      <c r="B8" s="5" t="inlineStr"/>
      <c r="C8" s="5" t="inlineStr"/>
      <c r="D8" s="5" t="inlineStr"/>
      <c r="E8" s="5" t="inlineStr"/>
      <c r="F8" s="5" t="inlineStr">
        <is>
          <t>X</t>
        </is>
      </c>
      <c r="G8" s="5" t="inlineStr">
        <is>
          <t>X</t>
        </is>
      </c>
      <c r="H8" s="5" t="inlineStr">
        <is>
          <t>X</t>
        </is>
      </c>
      <c r="I8" s="5" t="inlineStr"/>
      <c r="J8" s="5" t="inlineStr"/>
    </row>
    <row r="9">
      <c r="A9" s="4" t="inlineStr">
        <is>
          <t>Kakémonos posés (en place)</t>
        </is>
      </c>
      <c r="B9" s="4" t="inlineStr">
        <is>
          <t>X</t>
        </is>
      </c>
      <c r="C9" s="4" t="inlineStr">
        <is>
          <t>X</t>
        </is>
      </c>
      <c r="D9" s="4" t="inlineStr">
        <is>
          <t>X</t>
        </is>
      </c>
      <c r="E9" s="4" t="inlineStr">
        <is>
          <t>X</t>
        </is>
      </c>
      <c r="F9" s="4" t="inlineStr">
        <is>
          <t>X</t>
        </is>
      </c>
      <c r="G9" s="4" t="inlineStr">
        <is>
          <t>X</t>
        </is>
      </c>
      <c r="H9" s="4" t="inlineStr">
        <is>
          <t>X</t>
        </is>
      </c>
      <c r="I9" s="4" t="inlineStr">
        <is>
          <t>X</t>
        </is>
      </c>
      <c r="J9" s="4" t="inlineStr">
        <is>
          <t>X</t>
        </is>
      </c>
    </row>
    <row r="10">
      <c r="A10" s="5" t="inlineStr">
        <is>
          <t>Animation Adjamé</t>
        </is>
      </c>
      <c r="B10" s="5" t="inlineStr">
        <is>
          <t>X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4" t="inlineStr">
        <is>
          <t>Animation Treichville</t>
        </is>
      </c>
      <c r="B11" s="4" t="inlineStr"/>
      <c r="C11" s="4" t="inlineStr"/>
      <c r="D11" s="4" t="inlineStr"/>
      <c r="E11" s="4" t="inlineStr">
        <is>
          <t>X</t>
        </is>
      </c>
      <c r="F11" s="4" t="inlineStr"/>
      <c r="G11" s="4" t="inlineStr"/>
      <c r="H11" s="4" t="inlineStr"/>
      <c r="I11" s="4" t="inlineStr"/>
      <c r="J11" s="4" t="inlineStr"/>
    </row>
    <row r="12">
      <c r="A12" s="5" t="inlineStr">
        <is>
          <t>Animation Yopougon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X</t>
        </is>
      </c>
      <c r="H12" s="5" t="inlineStr"/>
      <c r="I12" s="5" t="inlineStr"/>
      <c r="J12" s="5" t="inlineStr"/>
    </row>
    <row r="13">
      <c r="A13" s="4" t="inlineStr">
        <is>
          <t>Point de décision</t>
        </is>
      </c>
      <c r="B13" s="4" t="inlineStr"/>
      <c r="C13" s="4" t="inlineStr"/>
      <c r="D13" s="4" t="inlineStr">
        <is>
          <t>X</t>
        </is>
      </c>
      <c r="E13" s="4" t="inlineStr"/>
      <c r="F13" s="4" t="inlineStr">
        <is>
          <t>X</t>
        </is>
      </c>
      <c r="G13" s="4" t="inlineStr"/>
      <c r="H13" s="4" t="inlineStr"/>
      <c r="I13" s="4" t="inlineStr"/>
      <c r="J13" s="4" t="inlineStr">
        <is>
          <t>X</t>
        </is>
      </c>
    </row>
    <row r="15">
      <c r="A15" s="6" t="inlineStr">
        <is>
          <t>Points de décision : 16/11 (fin de la période de référence), 30/11 (réserve), 31/12 (clôture). 01/11 Toussaint : aucune diffusion.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4" customWidth="1" min="3" max="3"/>
    <col width="38" customWidth="1" min="4" max="4"/>
    <col width="18" customWidth="1" min="5" max="5"/>
    <col width="14" customWidth="1" min="6" max="6"/>
    <col width="14" customWidth="1" min="7" max="7"/>
    <col width="14" customWidth="1" min="8" max="8"/>
    <col width="36" customWidth="1" min="9" max="9"/>
    <col width="13" customWidth="1" min="10" max="10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Grille de comparaison des propositions radio (à remplir à réception)</t>
        </is>
      </c>
      <c r="J2">
        <f>IMAGE("https://raw.githubusercontent.com/leslita06/fatima-unifood-fictif/main/assets/Logo_unifood.png")</f>
        <v/>
      </c>
    </row>
    <row r="4">
      <c r="A4" s="3" t="inlineStr">
        <is>
          <t>Station</t>
        </is>
      </c>
      <c r="B4" s="3" t="inlineStr">
        <is>
          <t>Format</t>
        </is>
      </c>
      <c r="C4" s="3" t="inlineStr">
        <is>
          <t>Créneaux demandés</t>
        </is>
      </c>
      <c r="D4" s="3" t="inlineStr">
        <is>
          <t>Période</t>
        </is>
      </c>
      <c r="E4" s="3" t="inlineStr">
        <is>
          <t>Passages proposés</t>
        </is>
      </c>
      <c r="F4" s="3" t="inlineStr">
        <is>
          <t>Prix brut</t>
        </is>
      </c>
      <c r="G4" s="3" t="inlineStr">
        <is>
          <t>Remises</t>
        </is>
      </c>
      <c r="H4" s="3" t="inlineStr">
        <is>
          <t>Prix net</t>
        </is>
      </c>
      <c r="I4" s="3" t="inlineStr">
        <is>
          <t>Justificatifs exigés</t>
        </is>
      </c>
    </row>
    <row r="5">
      <c r="A5" s="4" t="inlineStr">
        <is>
          <t>Nostalgie</t>
        </is>
      </c>
      <c r="B5" s="4" t="inlineStr">
        <is>
          <t>spot 30 s</t>
        </is>
      </c>
      <c r="C5" s="4" t="inlineStr">
        <is>
          <t>tranche matin 6 h-9 h (à négocier)</t>
        </is>
      </c>
      <c r="D5" s="4" t="inlineStr">
        <is>
          <t>vague 1 : 02/11-22/11 ; vague 2 : 30/11-20/12</t>
        </is>
      </c>
      <c r="E5" s="4" t="inlineStr">
        <is>
          <t>⟦proposition régie⟧</t>
        </is>
      </c>
      <c r="F5" s="4" t="inlineStr">
        <is>
          <t>⟦à confirmer⟧</t>
        </is>
      </c>
      <c r="G5" s="4" t="inlineStr">
        <is>
          <t>⟦à confirmer⟧</t>
        </is>
      </c>
      <c r="H5" s="4" t="inlineStr">
        <is>
          <t>⟦à confirmer⟧</t>
        </is>
      </c>
      <c r="I5" s="4" t="inlineStr">
        <is>
          <t>attestation de diffusion, relevé des passages</t>
        </is>
      </c>
    </row>
    <row r="6">
      <c r="A6" s="5" t="inlineStr">
        <is>
          <t>Radio JAM</t>
        </is>
      </c>
      <c r="B6" s="5" t="inlineStr">
        <is>
          <t>spot 30 s</t>
        </is>
      </c>
      <c r="C6" s="5" t="inlineStr">
        <is>
          <t>tranche matin + fin d'après-midi (à négocier)</t>
        </is>
      </c>
      <c r="D6" s="5" t="inlineStr">
        <is>
          <t>mêmes vagues</t>
        </is>
      </c>
      <c r="E6" s="5" t="inlineStr">
        <is>
          <t>⟦proposition régie⟧</t>
        </is>
      </c>
      <c r="F6" s="5" t="inlineStr">
        <is>
          <t>⟦à confirmer⟧</t>
        </is>
      </c>
      <c r="G6" s="5" t="inlineStr">
        <is>
          <t>⟦à confirmer⟧</t>
        </is>
      </c>
      <c r="H6" s="5" t="inlineStr">
        <is>
          <t>⟦à confirmer⟧</t>
        </is>
      </c>
      <c r="I6" s="5" t="inlineStr">
        <is>
          <t>attestation de diffusion, relevé des passages</t>
        </is>
      </c>
    </row>
    <row r="7">
      <c r="A7" s="4" t="inlineStr">
        <is>
          <t>Radio de proximité Bouaké / San Pedro / Yamoussoukro</t>
        </is>
      </c>
      <c r="B7" s="4" t="inlineStr">
        <is>
          <t>spot 30 s</t>
        </is>
      </c>
      <c r="C7" s="4" t="inlineStr">
        <is>
          <t>⟦à proposer⟧</t>
        </is>
      </c>
      <c r="D7" s="4" t="inlineStr">
        <is>
          <t>vague 2</t>
        </is>
      </c>
      <c r="E7" s="4" t="inlineStr">
        <is>
          <t>⟦proposition régie⟧</t>
        </is>
      </c>
      <c r="F7" s="4" t="inlineStr">
        <is>
          <t>⟦à confirmer⟧</t>
        </is>
      </c>
      <c r="G7" s="4" t="inlineStr">
        <is>
          <t>⟦à confirmer⟧</t>
        </is>
      </c>
      <c r="H7" s="4" t="inlineStr">
        <is>
          <t>⟦à confirmer⟧</t>
        </is>
      </c>
      <c r="I7" s="4" t="inlineStr">
        <is>
          <t>attestation de diffusion</t>
        </is>
      </c>
    </row>
    <row r="9">
      <c r="A9" s="6" t="inlineStr">
        <is>
          <t>Brief identique envoyé à chaque régie (sur accord). Une audience sans source se marque « non vérifiée ».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22" customWidth="1" min="4" max="4"/>
    <col width="13" customWidth="1" min="5" max="5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Engagement de la dépense : rien n'est signé</t>
        </is>
      </c>
      <c r="E2">
        <f>IMAGE("https://raw.githubusercontent.com/leslita06/fatima-unifood-fictif/main/assets/Logo_unifood.png")</f>
        <v/>
      </c>
    </row>
    <row r="4">
      <c r="A4" s="3" t="inlineStr">
        <is>
          <t>Étape</t>
        </is>
      </c>
      <c r="B4" s="3" t="inlineStr">
        <is>
          <t>Qui</t>
        </is>
      </c>
      <c r="C4" s="3" t="inlineStr">
        <is>
          <t>Statut</t>
        </is>
      </c>
      <c r="D4" s="3" t="inlineStr">
        <is>
          <t>Date cible</t>
        </is>
      </c>
    </row>
    <row r="5">
      <c r="A5" s="4" t="inlineStr">
        <is>
          <t>Validation du plan média</t>
        </is>
      </c>
      <c r="B5" s="4" t="inlineStr">
        <is>
          <t>Mariam Koné, directrice marketing (FICTIF)</t>
        </is>
      </c>
      <c r="C5" s="4" t="inlineStr">
        <is>
          <t>À valider</t>
        </is>
      </c>
      <c r="D5" s="4" t="inlineStr">
        <is>
          <t>23/10/2026</t>
        </is>
      </c>
    </row>
    <row r="6">
      <c r="A6" s="5" t="inlineStr">
        <is>
          <t>Validation du budget</t>
        </is>
      </c>
      <c r="B6" s="5" t="inlineStr">
        <is>
          <t>Hassan Fakhry, DG (FICTIF)</t>
        </is>
      </c>
      <c r="C6" s="5" t="inlineStr">
        <is>
          <t>À valider</t>
        </is>
      </c>
      <c r="D6" s="5" t="inlineStr">
        <is>
          <t>23/10/2026</t>
        </is>
      </c>
    </row>
    <row r="7">
      <c r="A7" s="4" t="inlineStr">
        <is>
          <t>Envoi du brief aux régies radio</t>
        </is>
      </c>
      <c r="B7" s="4" t="inlineStr">
        <is>
          <t>Fatima, sur accord</t>
        </is>
      </c>
      <c r="C7" s="4" t="inlineStr">
        <is>
          <t>Non envoyé</t>
        </is>
      </c>
      <c r="D7" s="4" t="inlineStr">
        <is>
          <t>24/10/2026</t>
        </is>
      </c>
    </row>
    <row r="8">
      <c r="A8" s="5" t="inlineStr">
        <is>
          <t>Ordres d'insertion vérifiés ligne par ligne</t>
        </is>
      </c>
      <c r="B8" s="5" t="inlineStr">
        <is>
          <t>Fatima + Médiaplus Abidjan (FICTIF)</t>
        </is>
      </c>
      <c r="C8" s="5" t="inlineStr">
        <is>
          <t>À faire</t>
        </is>
      </c>
      <c r="D8" s="5" t="inlineStr">
        <is>
          <t>29/10/2026</t>
        </is>
      </c>
    </row>
    <row r="9">
      <c r="A9" s="4" t="inlineStr">
        <is>
          <t>Signature des ordres</t>
        </is>
      </c>
      <c r="B9" s="4" t="inlineStr">
        <is>
          <t>Personne habilitée Unifood</t>
        </is>
      </c>
      <c r="C9" s="4" t="inlineStr">
        <is>
          <t>Non signé</t>
        </is>
      </c>
      <c r="D9" s="4" t="inlineStr">
        <is>
          <t>30/10/2026</t>
        </is>
      </c>
    </row>
    <row r="10">
      <c r="A10" s="5" t="inlineStr">
        <is>
          <t>Paiement</t>
        </is>
      </c>
      <c r="B10" s="5" t="inlineStr">
        <is>
          <t>Mamadou (finances Yelema) prévenu</t>
        </is>
      </c>
      <c r="C10" s="5" t="inlineStr">
        <is>
          <t>Non payé</t>
        </is>
      </c>
      <c r="D10" s="5" t="inlineStr">
        <is>
          <t>selon conditions régies</t>
        </is>
      </c>
    </row>
    <row r="12">
      <c r="A12" s="6" t="inlineStr">
        <is>
          <t>Suite proposée : A) valider ce plan et lancer la consultation des régies ; B) ajuster la répartition (par exemple plus de terrain) avant validation. Aucune dépense sans accord écrit.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2026-10-16T10:58:13Z</dcterms:created>
  <dcterms:modified xmlns:dcterms="http://purl.org/dc/terms/" xmlns:xsi="http://www.w3.org/2001/XMLSchema-instance" xsi:type="dcterms:W3CDTF">2026-10-16T10:58:13Z</dcterms:modified>
</cp:coreProperties>
</file>