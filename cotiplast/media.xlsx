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Plan média" sheetId="2" state="visible" r:id="rId2"/>
    <sheet xmlns:r="http://schemas.openxmlformats.org/officeDocument/2006/relationships" name="Calendrier" sheetId="3" state="visible" r:id="rId3"/>
    <sheet xmlns:r="http://schemas.openxmlformats.org/officeDocument/2006/relationships" name="Budget" sheetId="4" state="visible" r:id="rId4"/>
    <sheet xmlns:r="http://schemas.openxmlformats.org/officeDocument/2006/relationships" name="Mesu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F&quot;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555555"/>
      <sz val="9.5"/>
    </font>
    <font>
      <name val="Arial"/>
      <b val="1"/>
      <color rgb="00FFFFFF"/>
      <sz val="10"/>
    </font>
    <font>
      <name val="Arial"/>
      <b val="1"/>
      <color rgb="00111111"/>
      <sz val="10"/>
    </font>
    <font>
      <name val="Arial"/>
      <color rgb="00111111"/>
      <sz val="10"/>
    </font>
    <font>
      <name val="Arial"/>
      <b val="1"/>
      <sz val="10"/>
    </font>
    <font>
      <name val="Arial"/>
      <b val="1"/>
      <color rgb="00FD8103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FD8103"/>
      </patternFill>
    </fill>
    <fill>
      <patternFill patternType="solid">
        <fgColor rgb="00111111"/>
      </patternFill>
    </fill>
    <fill>
      <patternFill patternType="solid">
        <fgColor rgb="004FB58B"/>
      </patternFill>
    </fill>
    <fill>
      <patternFill patternType="solid">
        <fgColor rgb="00FFC680"/>
      </patternFill>
    </fill>
    <fill>
      <patternFill patternType="solid">
        <fgColor rgb="00F6F6F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2" borderId="0" pivotButton="0" quotePrefix="0" xfId="0"/>
    <xf numFmtId="0" fontId="2" fillId="0" borderId="0" applyAlignment="1" pivotButton="0" quotePrefix="0" xfId="0">
      <alignment vertical="center" wrapText="1" inden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3" fillId="4" borderId="0" applyAlignment="1" pivotButton="0" quotePrefix="0" xfId="0">
      <alignment vertical="center" indent="1"/>
    </xf>
    <xf numFmtId="0" fontId="0" fillId="4" borderId="0" pivotButton="0" quotePrefix="0" xfId="0"/>
    <xf numFmtId="0" fontId="5" fillId="0" borderId="1" applyAlignment="1" pivotButton="0" quotePrefix="0" xfId="0">
      <alignment horizontal="center" vertical="top" wrapText="1"/>
    </xf>
    <xf numFmtId="164" fontId="5" fillId="0" borderId="1" applyAlignment="1" pivotButton="0" quotePrefix="0" xfId="0">
      <alignment horizontal="right" vertical="top"/>
    </xf>
    <xf numFmtId="0" fontId="6" fillId="0" borderId="0" pivotButton="0" quotePrefix="0" xfId="0"/>
    <xf numFmtId="164" fontId="7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6" fillId="0" borderId="1" pivotButton="0" quotePrefix="0" xfId="0"/>
    <xf numFmtId="164" fontId="8" fillId="0" borderId="1" pivotButton="0" quotePrefix="0" xfId="0"/>
    <xf numFmtId="0" fontId="0" fillId="0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5" fillId="0" borderId="1" applyAlignment="1" pivotButton="0" quotePrefix="0" xfId="0">
      <alignment vertical="top" wrapText="1"/>
    </xf>
    <xf numFmtId="0" fontId="0" fillId="0" borderId="0" applyAlignment="1" pivotButton="0" quotePrefix="0" xfId="0">
      <alignment horizontal="right"/>
    </xf>
    <xf numFmtId="164" fontId="0" fillId="0" borderId="0" pivotButton="0" quotePrefix="0" xfId="0"/>
    <xf numFmtId="0" fontId="3" fillId="3" borderId="1" applyAlignment="1" pivotButton="0" quotePrefix="0" xfId="0">
      <alignment horizontal="center"/>
    </xf>
    <xf numFmtId="0" fontId="0" fillId="6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10" customWidth="1" min="2" max="2"/>
    <col width="2" customWidth="1" min="3" max="3"/>
    <col width="2" customWidth="1" min="4" max="4"/>
  </cols>
  <sheetData>
    <row r="1" ht="36" customHeight="1">
      <c r="A1" s="1" t="inlineStr">
        <is>
          <t>COTIPLAST · Plan média 2027 · directeurs d’usine et acheteurs</t>
        </is>
      </c>
      <c r="B1" s="2" t="n"/>
      <c r="C1" s="2" t="n"/>
      <c r="D1" s="2" t="n"/>
    </row>
    <row r="2" ht="32" customHeight="1">
      <c r="A2" s="3" t="inlineStr">
        <is>
          <t>Janvier à octobre 2027, jusqu’au salon agrofood &amp; plastprintpack West Africa (7 au 9 octobre 2027, Parc des Expositions, Abidjan). Montants : enveloppes proposées à confirmer par les devis des supports.</t>
        </is>
      </c>
    </row>
    <row r="4" ht="30" customHeight="1">
      <c r="A4" s="4" t="inlineStr">
        <is>
          <t>Rubrique</t>
        </is>
      </c>
      <c r="B4" s="4" t="inlineStr">
        <is>
          <t>Proposition</t>
        </is>
      </c>
    </row>
    <row r="5" ht="27" customHeight="1">
      <c r="A5" s="5" t="inlineStr">
        <is>
          <t>Objectif</t>
        </is>
      </c>
      <c r="B5" s="6" t="inlineStr">
        <is>
          <t>Faire connaître COTIPLAST des décideurs industriels ivoiriens et générer des demandes de devis qualifiées.</t>
        </is>
      </c>
    </row>
    <row r="6" ht="67.5" customHeight="1">
      <c r="A6" s="5" t="inlineStr">
        <is>
          <t>Cibles</t>
        </is>
      </c>
      <c r="B6" s="6" t="inlineStr">
        <is>
          <t>1. Directeurs d’usine et directeurs de production (choix technique de l’emballage)
2. Acheteurs et responsables approvisionnement (prix, délais, fiabilité)
3. Directeurs marketing des marques de grande consommation (packaging imprimé)</t>
        </is>
      </c>
    </row>
    <row r="7" ht="27" customHeight="1">
      <c r="A7" s="5" t="inlineStr">
        <is>
          <t>Secteurs prioritaires</t>
        </is>
      </c>
      <c r="B7" s="6" t="inlineStr">
        <is>
          <t>Agroalimentaire, boissons, BTP et matériaux, distribution et logistique, produits de grande consommation</t>
        </is>
      </c>
    </row>
    <row r="8" ht="27" customHeight="1">
      <c r="A8" s="5" t="inlineStr">
        <is>
          <t>Idée directrice</t>
        </is>
      </c>
      <c r="B8" s="6" t="inlineStr">
        <is>
          <t>Ces cibles sont peu nombreuses et se connaissent : on les atteint par des canaux précis (LinkedIn ciblé, presse industrielle, réseaux patronaux, salons, contact direct), pas par des médias de masse.</t>
        </is>
      </c>
    </row>
    <row r="9" ht="27" customHeight="1">
      <c r="A9" s="5" t="inlineStr">
        <is>
          <t>Message</t>
        </is>
      </c>
      <c r="B9" s="6" t="inlineStr">
        <is>
          <t>« Vos emballages industriels, fabriqués à Abidjan depuis 1992. » Preuves : fabrication locale sur mesure, ISO 9001 version 2015, plus de 30 ans, quatre gammes.</t>
        </is>
      </c>
    </row>
    <row r="10" ht="27" customHeight="1">
      <c r="A10" s="5" t="inlineStr">
        <is>
          <t>Destination de chaque action</t>
        </is>
      </c>
      <c r="B10" s="6" t="inlineStr">
        <is>
          <t>La page « Emballages pour l’industrie » et son formulaire de devis (texte déjà rédigé).</t>
        </is>
      </c>
    </row>
    <row r="11" ht="27" customHeight="1">
      <c r="A11" s="5" t="inlineStr">
        <is>
          <t>Budget recommandé</t>
        </is>
      </c>
      <c r="B11" s="6" t="inlineStr">
        <is>
          <t>Scénario médium : 18 000 000 F CFA sur 10 mois (détail dans l’onglet Budget). Basique et premium proposés à côté.</t>
        </is>
      </c>
    </row>
    <row r="12" ht="27" customHeight="1">
      <c r="A12" s="5" t="inlineStr">
        <is>
          <t>Objectifs chiffrés (médium)</t>
        </is>
      </c>
      <c r="B12" s="6" t="inlineStr">
        <is>
          <t>120 demandes de devis qualifiées, 40 rendez-vous industriels, 1 500 abonnés LinkedIn supplémentaires, 300 contacts collectés au salon. Hypothèses à recaler après 3 mois.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16" customWidth="1" min="4" max="4"/>
    <col width="24" customWidth="1" min="5" max="5"/>
    <col width="15" customWidth="1" min="6" max="6"/>
    <col width="14" customWidth="1" min="7" max="7"/>
    <col width="14" customWidth="1" min="8" max="8"/>
    <col width="20" customWidth="1" min="9" max="9"/>
    <col width="15" customWidth="1" min="10" max="10"/>
    <col width="14" customWidth="1" min="11" max="11"/>
    <col width="26" customWidth="1" min="12" max="12"/>
  </cols>
  <sheetData>
    <row r="1" ht="36" customHeight="1">
      <c r="A1" s="1" t="inlineStr">
        <is>
          <t>Plan média · un dispositif par ligne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32" customHeight="1">
      <c r="A2" s="3" t="inlineStr">
        <is>
          <t>Budget du scénario médium. « Statut tarif » indique si le prix vient d’un tarif publié ou reste à demander au support.</t>
        </is>
      </c>
    </row>
    <row r="4" ht="30" customHeight="1">
      <c r="A4" s="4" t="inlineStr">
        <is>
          <t>Canal</t>
        </is>
      </c>
      <c r="B4" s="4" t="inlineStr">
        <is>
          <t>Support / action</t>
        </is>
      </c>
      <c r="C4" s="4" t="inlineStr">
        <is>
          <t>Cible principale</t>
        </is>
      </c>
      <c r="D4" s="4" t="inlineStr">
        <is>
          <t>Objectif</t>
        </is>
      </c>
      <c r="E4" s="4" t="inlineStr">
        <is>
          <t>Format</t>
        </is>
      </c>
      <c r="F4" s="4" t="inlineStr">
        <is>
          <t>Période</t>
        </is>
      </c>
      <c r="G4" s="4" t="inlineStr">
        <is>
          <t>Fréquence</t>
        </is>
      </c>
      <c r="H4" s="4" t="inlineStr">
        <is>
          <t>Budget (médium)</t>
        </is>
      </c>
      <c r="I4" s="4" t="inlineStr">
        <is>
          <t>Indicateur suivi</t>
        </is>
      </c>
      <c r="J4" s="4" t="inlineStr">
        <is>
          <t>Objectif chiffré</t>
        </is>
      </c>
      <c r="K4" s="4" t="inlineStr">
        <is>
          <t>Statut tarif</t>
        </is>
      </c>
      <c r="L4" s="4" t="inlineStr">
        <is>
          <t>Contact / source</t>
        </is>
      </c>
    </row>
    <row r="5" ht="22" customHeight="1">
      <c r="A5" s="7" t="inlineStr">
        <is>
          <t>NUMÉRIQUE PAYANT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 ht="54" customHeight="1">
      <c r="A6" s="5" t="inlineStr">
        <is>
          <t>LinkedIn publicité</t>
        </is>
      </c>
      <c r="B6" s="6" t="inlineStr">
        <is>
          <t>Campagnes sponsorisées ciblées par fonction (production, achats, supply chain) et secteur, Côte d’Ivoire</t>
        </is>
      </c>
      <c r="C6" s="6" t="inlineStr">
        <is>
          <t>Directeurs d’usine, acheteurs</t>
        </is>
      </c>
      <c r="D6" s="6" t="inlineStr">
        <is>
          <t>Notoriété puis devis</t>
        </is>
      </c>
      <c r="E6" s="6" t="inlineStr">
        <is>
          <t>Image et carrousel, formulaire de contact LinkedIn</t>
        </is>
      </c>
      <c r="F6" s="9" t="inlineStr">
        <is>
          <t>févr. à sept. 2027</t>
        </is>
      </c>
      <c r="G6" s="9" t="inlineStr">
        <is>
          <t>En continu, 2 vagues</t>
        </is>
      </c>
      <c r="H6" s="10" t="n">
        <v>6000000</v>
      </c>
      <c r="I6" s="6" t="inlineStr">
        <is>
          <t>Coût par contact, demandes de devis</t>
        </is>
      </c>
      <c r="J6" s="6" t="inlineStr">
        <is>
          <t>60 contacts</t>
        </is>
      </c>
      <c r="K6" s="6" t="inlineStr">
        <is>
          <t>Enchères LinkedIn</t>
        </is>
      </c>
      <c r="L6" s="6" t="inlineStr">
        <is>
          <t>Gestionnaire de campagnes LinkedIn</t>
        </is>
      </c>
    </row>
    <row r="7" ht="54" customHeight="1">
      <c r="A7" s="5" t="inlineStr">
        <is>
          <t>Google Ads</t>
        </is>
      </c>
      <c r="B7" s="6" t="inlineStr">
        <is>
          <t>Annonces sur les recherches « emballage plastique Abidjan », « big bag Côte d’Ivoire », « sachet imprimé »…</t>
        </is>
      </c>
      <c r="C7" s="6" t="inlineStr">
        <is>
          <t>Acheteurs qui cherchent un fournisseur</t>
        </is>
      </c>
      <c r="D7" s="6" t="inlineStr">
        <is>
          <t>Demandes de devis</t>
        </is>
      </c>
      <c r="E7" s="6" t="inlineStr">
        <is>
          <t>Annonces texte vers la page devis</t>
        </is>
      </c>
      <c r="F7" s="9" t="inlineStr">
        <is>
          <t>févr. à oct. 2027</t>
        </is>
      </c>
      <c r="G7" s="9" t="inlineStr">
        <is>
          <t>En continu</t>
        </is>
      </c>
      <c r="H7" s="10" t="n">
        <v>2000000</v>
      </c>
      <c r="I7" s="6" t="inlineStr">
        <is>
          <t>Clics, devis reçus</t>
        </is>
      </c>
      <c r="J7" s="6" t="inlineStr">
        <is>
          <t>30 demandes</t>
        </is>
      </c>
      <c r="K7" s="6" t="inlineStr">
        <is>
          <t>Enchères Google</t>
        </is>
      </c>
      <c r="L7" s="6" t="inlineStr">
        <is>
          <t>Google Ads</t>
        </is>
      </c>
    </row>
    <row r="8" ht="22" customHeight="1">
      <c r="A8" s="7" t="inlineStr">
        <is>
          <t>NUMÉRIQUE GRATUIT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</row>
    <row r="9" ht="40.5" customHeight="1">
      <c r="A9" s="5" t="inlineStr">
        <is>
          <t>LinkedIn page</t>
        </is>
      </c>
      <c r="B9" s="6" t="inlineStr">
        <is>
          <t>Page COTIPLAST : 3 publications par semaine (calendrier de novembre déjà prêt)</t>
        </is>
      </c>
      <c r="C9" s="6" t="inlineStr">
        <is>
          <t>Toutes cibles</t>
        </is>
      </c>
      <c r="D9" s="6" t="inlineStr">
        <is>
          <t>Crédibilité, abonnés</t>
        </is>
      </c>
      <c r="E9" s="6" t="inlineStr">
        <is>
          <t>Image, carrousel, vidéo usine</t>
        </is>
      </c>
      <c r="F9" s="9" t="inlineStr">
        <is>
          <t>janv. à oct. 2027</t>
        </is>
      </c>
      <c r="G9" s="9" t="inlineStr">
        <is>
          <t>3 par semaine</t>
        </is>
      </c>
      <c r="H9" s="10" t="n">
        <v>0</v>
      </c>
      <c r="I9" s="6" t="inlineStr">
        <is>
          <t>Abonnés, interactions</t>
        </is>
      </c>
      <c r="J9" s="6" t="inlineStr">
        <is>
          <t>+1 500 abonnés</t>
        </is>
      </c>
      <c r="K9" s="6" t="inlineStr">
        <is>
          <t>Sans coût média</t>
        </is>
      </c>
      <c r="L9" s="6" t="inlineStr">
        <is>
          <t>Équipe communication</t>
        </is>
      </c>
    </row>
    <row r="10" ht="40.5" customHeight="1">
      <c r="A10" s="5" t="inlineStr">
        <is>
          <t>LinkedIn dirigeants</t>
        </is>
      </c>
      <c r="B10" s="6" t="inlineStr">
        <is>
          <t>Publications du directeur général et des commerciaux, relais des posts de la page</t>
        </is>
      </c>
      <c r="C10" s="6" t="inlineStr">
        <is>
          <t>Pairs dirigeants, acheteurs</t>
        </is>
      </c>
      <c r="D10" s="6" t="inlineStr">
        <is>
          <t>Confiance, réseau</t>
        </is>
      </c>
      <c r="E10" s="6" t="inlineStr">
        <is>
          <t>Texte et photo</t>
        </is>
      </c>
      <c r="F10" s="9" t="inlineStr">
        <is>
          <t>janv. à oct. 2027</t>
        </is>
      </c>
      <c r="G10" s="9" t="inlineStr">
        <is>
          <t>1 par semaine</t>
        </is>
      </c>
      <c r="H10" s="10" t="n">
        <v>0</v>
      </c>
      <c r="I10" s="6" t="inlineStr">
        <is>
          <t>Vues, demandes de contact</t>
        </is>
      </c>
      <c r="J10" s="6" t="inlineStr">
        <is>
          <t>20 rendez-vous</t>
        </is>
      </c>
      <c r="K10" s="6" t="inlineStr">
        <is>
          <t>Sans coût média</t>
        </is>
      </c>
      <c r="L10" s="6" t="inlineStr">
        <is>
          <t>Direction</t>
        </is>
      </c>
    </row>
    <row r="11" ht="40.5" customHeight="1">
      <c r="A11" s="5" t="inlineStr">
        <is>
          <t>E-mailing</t>
        </is>
      </c>
      <c r="B11" s="6" t="inlineStr">
        <is>
          <t>Lettre trimestrielle aux clients et prospects qui ont donné leur accord</t>
        </is>
      </c>
      <c r="C11" s="6" t="inlineStr">
        <is>
          <t>Acheteurs en portefeuille</t>
        </is>
      </c>
      <c r="D11" s="6" t="inlineStr">
        <is>
          <t>Fidéliser, faire revenir</t>
        </is>
      </c>
      <c r="E11" s="6" t="inlineStr">
        <is>
          <t>Lettre d’information</t>
        </is>
      </c>
      <c r="F11" s="9" t="inlineStr">
        <is>
          <t>mars, juin, sept. 2027</t>
        </is>
      </c>
      <c r="G11" s="9" t="inlineStr">
        <is>
          <t>Trimestrielle</t>
        </is>
      </c>
      <c r="H11" s="10" t="n">
        <v>300000</v>
      </c>
      <c r="I11" s="6" t="inlineStr">
        <is>
          <t>Ouvertures, réponses</t>
        </is>
      </c>
      <c r="J11" s="6" t="inlineStr">
        <is>
          <t>25 % d’ouverture</t>
        </is>
      </c>
      <c r="K11" s="6" t="inlineStr">
        <is>
          <t>Outil d’envoi</t>
        </is>
      </c>
      <c r="L11" s="6" t="inlineStr">
        <is>
          <t>Équipe communication</t>
        </is>
      </c>
    </row>
    <row r="12" ht="22" customHeight="1">
      <c r="A12" s="7" t="inlineStr">
        <is>
          <t>PRESSE ET MÉDIAS SPÉCIALISÉS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</row>
    <row r="13" ht="40.5" customHeight="1">
      <c r="A13" s="5" t="inlineStr">
        <is>
          <t>Presse industrielle</t>
        </is>
      </c>
      <c r="B13" s="6" t="inlineStr">
        <is>
          <t>Ivoire Industrie Magazine : publireportage visite d’usine + 2 annonces</t>
        </is>
      </c>
      <c r="C13" s="6" t="inlineStr">
        <is>
          <t>Directeurs d’usine</t>
        </is>
      </c>
      <c r="D13" s="6" t="inlineStr">
        <is>
          <t>Notoriété, preuve</t>
        </is>
      </c>
      <c r="E13" s="6" t="inlineStr">
        <is>
          <t>Publireportage 2 pages, annonce pleine page</t>
        </is>
      </c>
      <c r="F13" s="9" t="inlineStr">
        <is>
          <t>avril et sept. 2027</t>
        </is>
      </c>
      <c r="G13" s="9" t="inlineStr">
        <is>
          <t>3 parutions</t>
        </is>
      </c>
      <c r="H13" s="10" t="n">
        <v>2500000</v>
      </c>
      <c r="I13" s="6" t="inlineStr">
        <is>
          <t>Lectures, demandes citant le magazine</t>
        </is>
      </c>
      <c r="J13" s="6" t="inlineStr">
        <is>
          <t>10 demandes</t>
        </is>
      </c>
      <c r="K13" s="6" t="inlineStr">
        <is>
          <t>À demander</t>
        </is>
      </c>
      <c r="L13" s="6" t="inlineStr">
        <is>
          <t>ivoireindustriemag.com</t>
        </is>
      </c>
    </row>
    <row r="14" ht="54" customHeight="1">
      <c r="A14" s="5" t="inlineStr">
        <is>
          <t>Presse économique</t>
        </is>
      </c>
      <c r="B14" s="6" t="inlineStr">
        <is>
          <t>Communiqués et interview sur la fabrication locale et le recyclage (Fraternité Matin économie, Abidjan.net, Agence Ecofin)</t>
        </is>
      </c>
      <c r="C14" s="6" t="inlineStr">
        <is>
          <t>Décideurs, partenaires</t>
        </is>
      </c>
      <c r="D14" s="6" t="inlineStr">
        <is>
          <t>Crédibilité</t>
        </is>
      </c>
      <c r="E14" s="6" t="inlineStr">
        <is>
          <t>Communiqué, interview</t>
        </is>
      </c>
      <c r="F14" s="9" t="inlineStr">
        <is>
          <t>mars et oct. 2027</t>
        </is>
      </c>
      <c r="G14" s="9" t="inlineStr">
        <is>
          <t>2 temps forts</t>
        </is>
      </c>
      <c r="H14" s="10" t="n">
        <v>500000</v>
      </c>
      <c r="I14" s="6" t="inlineStr">
        <is>
          <t>Retombées obtenues</t>
        </is>
      </c>
      <c r="J14" s="6" t="inlineStr">
        <is>
          <t>6 articles</t>
        </is>
      </c>
      <c r="K14" s="6" t="inlineStr">
        <is>
          <t>Relations presse</t>
        </is>
      </c>
      <c r="L14" s="6" t="inlineStr">
        <is>
          <t>Rédactions économiques</t>
        </is>
      </c>
    </row>
    <row r="15" ht="22" customHeight="1">
      <c r="A15" s="7" t="inlineStr">
        <is>
          <t>RÉSEAUX PROFESSIONNELS</t>
        </is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</row>
    <row r="16" ht="40.5" customHeight="1">
      <c r="A16" s="5" t="inlineStr">
        <is>
          <t>Patronat</t>
        </is>
      </c>
      <c r="B16" s="6" t="inlineStr">
        <is>
          <t>Présence aux rencontres de la CGECI (dont CGECI Academy) et de la CCI Côte d’Ivoire</t>
        </is>
      </c>
      <c r="C16" s="6" t="inlineStr">
        <is>
          <t>Dirigeants industriels</t>
        </is>
      </c>
      <c r="D16" s="6" t="inlineStr">
        <is>
          <t>Rencontres directes</t>
        </is>
      </c>
      <c r="E16" s="6" t="inlineStr">
        <is>
          <t>Participation, prise de parole si possible</t>
        </is>
      </c>
      <c r="F16" s="9" t="inlineStr">
        <is>
          <t>selon calendrier 2027</t>
        </is>
      </c>
      <c r="G16" s="9" t="inlineStr">
        <is>
          <t>3 à 4 rencontres</t>
        </is>
      </c>
      <c r="H16" s="10" t="n">
        <v>1500000</v>
      </c>
      <c r="I16" s="6" t="inlineStr">
        <is>
          <t>Contacts qualifiés</t>
        </is>
      </c>
      <c r="J16" s="6" t="inlineStr">
        <is>
          <t>40 contacts</t>
        </is>
      </c>
      <c r="K16" s="6" t="inlineStr">
        <is>
          <t>À demander</t>
        </is>
      </c>
      <c r="L16" s="6" t="inlineStr">
        <is>
          <t>cgeciacademy.org, cci.ci</t>
        </is>
      </c>
    </row>
    <row r="17" ht="40.5" customHeight="1">
      <c r="A17" s="5" t="inlineStr">
        <is>
          <t>Fédérations</t>
        </is>
      </c>
      <c r="B17" s="6" t="inlineStr">
        <is>
          <t>Interventions auprès de la FIPME et des groupements sectoriels (agroalimentaire, boissons)</t>
        </is>
      </c>
      <c r="C17" s="6" t="inlineStr">
        <is>
          <t>Industriels PME</t>
        </is>
      </c>
      <c r="D17" s="6" t="inlineStr">
        <is>
          <t>Contacts, prescription</t>
        </is>
      </c>
      <c r="E17" s="6" t="inlineStr">
        <is>
          <t>Petit-déjeuner, atelier « choisir son emballage »</t>
        </is>
      </c>
      <c r="F17" s="9" t="inlineStr">
        <is>
          <t>mai et juin 2027</t>
        </is>
      </c>
      <c r="G17" s="9" t="inlineStr">
        <is>
          <t>2 ateliers</t>
        </is>
      </c>
      <c r="H17" s="10" t="n">
        <v>800000</v>
      </c>
      <c r="I17" s="6" t="inlineStr">
        <is>
          <t>Participants, rendez-vous</t>
        </is>
      </c>
      <c r="J17" s="6" t="inlineStr">
        <is>
          <t>30 participants</t>
        </is>
      </c>
      <c r="K17" s="6" t="inlineStr">
        <is>
          <t>À demander</t>
        </is>
      </c>
      <c r="L17" s="6" t="inlineStr">
        <is>
          <t>fipme.ci</t>
        </is>
      </c>
    </row>
    <row r="18" ht="22" customHeight="1">
      <c r="A18" s="7" t="inlineStr">
        <is>
          <t>TERRAIN</t>
        </is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</row>
    <row r="19" ht="40.5" customHeight="1">
      <c r="A19" s="5" t="inlineStr">
        <is>
          <t>Salon</t>
        </is>
      </c>
      <c r="B19" s="6" t="inlineStr">
        <is>
          <t>Stand à agrofood &amp; plastprintpack West Africa (avec Afrik’Embal), 7 au 9 octobre 2027</t>
        </is>
      </c>
      <c r="C19" s="6" t="inlineStr">
        <is>
          <t>Toutes cibles</t>
        </is>
      </c>
      <c r="D19" s="6" t="inlineStr">
        <is>
          <t>Contacts, devis</t>
        </is>
      </c>
      <c r="E19" s="6" t="inlineStr">
        <is>
          <t>Stand, démonstration, collecte de contacts</t>
        </is>
      </c>
      <c r="F19" s="9" t="inlineStr">
        <is>
          <t>oct. 2027 (préparation dès juin)</t>
        </is>
      </c>
      <c r="G19" s="9" t="inlineStr">
        <is>
          <t>1 salon</t>
        </is>
      </c>
      <c r="H19" s="10" t="n">
        <v>3500000</v>
      </c>
      <c r="I19" s="6" t="inlineStr">
        <is>
          <t>Contacts collectés, devis à 30 jours</t>
        </is>
      </c>
      <c r="J19" s="6" t="inlineStr">
        <is>
          <t>300 contacts</t>
        </is>
      </c>
      <c r="K19" s="6" t="inlineStr">
        <is>
          <t>À demander à l’organisateur</t>
        </is>
      </c>
      <c r="L19" s="6" t="inlineStr">
        <is>
          <t>ppp-westafrica.com</t>
        </is>
      </c>
    </row>
    <row r="20" ht="40.5" customHeight="1">
      <c r="A20" s="5" t="inlineStr">
        <is>
          <t>Journée portes ouvertes</t>
        </is>
      </c>
      <c r="B20" s="6" t="inlineStr">
        <is>
          <t>Visite de l’usine de Yopougon pour 20 à 30 acheteurs et directeurs d’usine invités</t>
        </is>
      </c>
      <c r="C20" s="6" t="inlineStr">
        <is>
          <t>Acheteurs clés</t>
        </is>
      </c>
      <c r="D20" s="6" t="inlineStr">
        <is>
          <t>Preuve par la visite</t>
        </is>
      </c>
      <c r="E20" s="6" t="inlineStr">
        <is>
          <t>Visite, démonstration, déjeuner</t>
        </is>
      </c>
      <c r="F20" s="9" t="inlineStr">
        <is>
          <t>juin 2027</t>
        </is>
      </c>
      <c r="G20" s="9" t="inlineStr">
        <is>
          <t>1 journée</t>
        </is>
      </c>
      <c r="H20" s="10" t="n">
        <v>900000</v>
      </c>
      <c r="I20" s="6" t="inlineStr">
        <is>
          <t>Présents, devis</t>
        </is>
      </c>
      <c r="J20" s="6" t="inlineStr">
        <is>
          <t>15 devis</t>
        </is>
      </c>
      <c r="K20" s="6" t="inlineStr">
        <is>
          <t>Coût interne</t>
        </is>
      </c>
      <c r="L20" s="6" t="inlineStr">
        <is>
          <t>Équipe commerciale</t>
        </is>
      </c>
    </row>
    <row r="21">
      <c r="G21" s="11" t="inlineStr">
        <is>
          <t>Total</t>
        </is>
      </c>
      <c r="H21" s="12">
        <f>SUM(H5:H20)</f>
        <v/>
      </c>
    </row>
  </sheetData>
  <mergeCells count="7">
    <mergeCell ref="A2:L2"/>
    <mergeCell ref="A15:L15"/>
    <mergeCell ref="A1:L1"/>
    <mergeCell ref="A5:L5"/>
    <mergeCell ref="A8:L8"/>
    <mergeCell ref="A18:L18"/>
    <mergeCell ref="A12:L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36" customHeight="1">
      <c r="A1" s="1" t="inlineStr">
        <is>
          <t>Calendrier 2027 · quand chaque canal est actif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32" customHeight="1">
      <c r="A2" s="3" t="inlineStr">
        <is>
          <t>■ = action active ce mois-ci. Les deux vagues LinkedIn encadrent les temps forts (portes ouvertes en juin, salon en octobre).</t>
        </is>
      </c>
    </row>
    <row r="4">
      <c r="A4" s="13" t="inlineStr">
        <is>
          <t>Canal</t>
        </is>
      </c>
      <c r="B4" s="13" t="inlineStr">
        <is>
          <t>Budget</t>
        </is>
      </c>
      <c r="C4" s="13" t="inlineStr">
        <is>
          <t>janv.</t>
        </is>
      </c>
      <c r="D4" s="13" t="inlineStr">
        <is>
          <t>févr.</t>
        </is>
      </c>
      <c r="E4" s="13" t="inlineStr">
        <is>
          <t>mars</t>
        </is>
      </c>
      <c r="F4" s="13" t="inlineStr">
        <is>
          <t>avr.</t>
        </is>
      </c>
      <c r="G4" s="13" t="inlineStr">
        <is>
          <t>mai</t>
        </is>
      </c>
      <c r="H4" s="13" t="inlineStr">
        <is>
          <t>juin</t>
        </is>
      </c>
      <c r="I4" s="13" t="inlineStr">
        <is>
          <t>juil.</t>
        </is>
      </c>
      <c r="J4" s="13" t="inlineStr">
        <is>
          <t>août</t>
        </is>
      </c>
      <c r="K4" s="13" t="inlineStr">
        <is>
          <t>sept.</t>
        </is>
      </c>
      <c r="L4" s="13" t="inlineStr">
        <is>
          <t>oct.</t>
        </is>
      </c>
    </row>
    <row r="5" ht="20" customHeight="1">
      <c r="A5" s="14" t="inlineStr">
        <is>
          <t>LinkedIn publicité</t>
        </is>
      </c>
      <c r="B5" s="15" t="n">
        <v>6000000</v>
      </c>
      <c r="C5" s="16" t="inlineStr"/>
      <c r="D5" s="17" t="inlineStr">
        <is>
          <t>■</t>
        </is>
      </c>
      <c r="E5" s="17" t="inlineStr">
        <is>
          <t>■</t>
        </is>
      </c>
      <c r="F5" s="17" t="inlineStr">
        <is>
          <t>■</t>
        </is>
      </c>
      <c r="G5" s="17" t="inlineStr">
        <is>
          <t>■</t>
        </is>
      </c>
      <c r="H5" s="17" t="inlineStr">
        <is>
          <t>■</t>
        </is>
      </c>
      <c r="I5" s="16" t="inlineStr"/>
      <c r="J5" s="17" t="inlineStr">
        <is>
          <t>■</t>
        </is>
      </c>
      <c r="K5" s="17" t="inlineStr">
        <is>
          <t>■</t>
        </is>
      </c>
      <c r="L5" s="16" t="inlineStr"/>
    </row>
    <row r="6" ht="20" customHeight="1">
      <c r="A6" s="14" t="inlineStr">
        <is>
          <t>Google Ads</t>
        </is>
      </c>
      <c r="B6" s="15" t="n">
        <v>2000000</v>
      </c>
      <c r="C6" s="16" t="inlineStr"/>
      <c r="D6" s="17" t="inlineStr">
        <is>
          <t>■</t>
        </is>
      </c>
      <c r="E6" s="17" t="inlineStr">
        <is>
          <t>■</t>
        </is>
      </c>
      <c r="F6" s="17" t="inlineStr">
        <is>
          <t>■</t>
        </is>
      </c>
      <c r="G6" s="17" t="inlineStr">
        <is>
          <t>■</t>
        </is>
      </c>
      <c r="H6" s="17" t="inlineStr">
        <is>
          <t>■</t>
        </is>
      </c>
      <c r="I6" s="17" t="inlineStr">
        <is>
          <t>■</t>
        </is>
      </c>
      <c r="J6" s="17" t="inlineStr">
        <is>
          <t>■</t>
        </is>
      </c>
      <c r="K6" s="17" t="inlineStr">
        <is>
          <t>■</t>
        </is>
      </c>
      <c r="L6" s="17" t="inlineStr">
        <is>
          <t>■</t>
        </is>
      </c>
    </row>
    <row r="7" ht="20" customHeight="1">
      <c r="A7" s="14" t="inlineStr">
        <is>
          <t>LinkedIn page</t>
        </is>
      </c>
      <c r="B7" s="15" t="n">
        <v>0</v>
      </c>
      <c r="C7" s="17" t="inlineStr">
        <is>
          <t>■</t>
        </is>
      </c>
      <c r="D7" s="17" t="inlineStr">
        <is>
          <t>■</t>
        </is>
      </c>
      <c r="E7" s="17" t="inlineStr">
        <is>
          <t>■</t>
        </is>
      </c>
      <c r="F7" s="17" t="inlineStr">
        <is>
          <t>■</t>
        </is>
      </c>
      <c r="G7" s="17" t="inlineStr">
        <is>
          <t>■</t>
        </is>
      </c>
      <c r="H7" s="17" t="inlineStr">
        <is>
          <t>■</t>
        </is>
      </c>
      <c r="I7" s="17" t="inlineStr">
        <is>
          <t>■</t>
        </is>
      </c>
      <c r="J7" s="17" t="inlineStr">
        <is>
          <t>■</t>
        </is>
      </c>
      <c r="K7" s="17" t="inlineStr">
        <is>
          <t>■</t>
        </is>
      </c>
      <c r="L7" s="17" t="inlineStr">
        <is>
          <t>■</t>
        </is>
      </c>
    </row>
    <row r="8" ht="20" customHeight="1">
      <c r="A8" s="14" t="inlineStr">
        <is>
          <t>LinkedIn dirigeants</t>
        </is>
      </c>
      <c r="B8" s="15" t="n">
        <v>0</v>
      </c>
      <c r="C8" s="17" t="inlineStr">
        <is>
          <t>■</t>
        </is>
      </c>
      <c r="D8" s="17" t="inlineStr">
        <is>
          <t>■</t>
        </is>
      </c>
      <c r="E8" s="17" t="inlineStr">
        <is>
          <t>■</t>
        </is>
      </c>
      <c r="F8" s="17" t="inlineStr">
        <is>
          <t>■</t>
        </is>
      </c>
      <c r="G8" s="17" t="inlineStr">
        <is>
          <t>■</t>
        </is>
      </c>
      <c r="H8" s="17" t="inlineStr">
        <is>
          <t>■</t>
        </is>
      </c>
      <c r="I8" s="17" t="inlineStr">
        <is>
          <t>■</t>
        </is>
      </c>
      <c r="J8" s="17" t="inlineStr">
        <is>
          <t>■</t>
        </is>
      </c>
      <c r="K8" s="17" t="inlineStr">
        <is>
          <t>■</t>
        </is>
      </c>
      <c r="L8" s="17" t="inlineStr">
        <is>
          <t>■</t>
        </is>
      </c>
    </row>
    <row r="9" ht="20" customHeight="1">
      <c r="A9" s="14" t="inlineStr">
        <is>
          <t>E-mailing</t>
        </is>
      </c>
      <c r="B9" s="15" t="n">
        <v>300000</v>
      </c>
      <c r="C9" s="16" t="inlineStr"/>
      <c r="D9" s="16" t="inlineStr"/>
      <c r="E9" s="18" t="inlineStr">
        <is>
          <t>■</t>
        </is>
      </c>
      <c r="F9" s="16" t="inlineStr"/>
      <c r="G9" s="16" t="inlineStr"/>
      <c r="H9" s="18" t="inlineStr">
        <is>
          <t>■</t>
        </is>
      </c>
      <c r="I9" s="16" t="inlineStr"/>
      <c r="J9" s="16" t="inlineStr"/>
      <c r="K9" s="18" t="inlineStr">
        <is>
          <t>■</t>
        </is>
      </c>
      <c r="L9" s="16" t="inlineStr"/>
    </row>
    <row r="10" ht="20" customHeight="1">
      <c r="A10" s="14" t="inlineStr">
        <is>
          <t>Ivoire Industrie Magazine</t>
        </is>
      </c>
      <c r="B10" s="15" t="n">
        <v>2500000</v>
      </c>
      <c r="C10" s="16" t="inlineStr"/>
      <c r="D10" s="16" t="inlineStr"/>
      <c r="E10" s="16" t="inlineStr"/>
      <c r="F10" s="18" t="inlineStr">
        <is>
          <t>■</t>
        </is>
      </c>
      <c r="G10" s="16" t="inlineStr"/>
      <c r="H10" s="16" t="inlineStr"/>
      <c r="I10" s="16" t="inlineStr"/>
      <c r="J10" s="16" t="inlineStr"/>
      <c r="K10" s="18" t="inlineStr">
        <is>
          <t>■</t>
        </is>
      </c>
      <c r="L10" s="16" t="inlineStr"/>
    </row>
    <row r="11" ht="20" customHeight="1">
      <c r="A11" s="14" t="inlineStr">
        <is>
          <t>Presse économique</t>
        </is>
      </c>
      <c r="B11" s="15" t="n">
        <v>500000</v>
      </c>
      <c r="C11" s="16" t="inlineStr"/>
      <c r="D11" s="16" t="inlineStr"/>
      <c r="E11" s="18" t="inlineStr">
        <is>
          <t>■</t>
        </is>
      </c>
      <c r="F11" s="16" t="inlineStr"/>
      <c r="G11" s="16" t="inlineStr"/>
      <c r="H11" s="16" t="inlineStr"/>
      <c r="I11" s="16" t="inlineStr"/>
      <c r="J11" s="16" t="inlineStr"/>
      <c r="K11" s="16" t="inlineStr"/>
      <c r="L11" s="18" t="inlineStr">
        <is>
          <t>■</t>
        </is>
      </c>
    </row>
    <row r="12" ht="20" customHeight="1">
      <c r="A12" s="14" t="inlineStr">
        <is>
          <t>Patronat (CGECI, CCI)</t>
        </is>
      </c>
      <c r="B12" s="15" t="n">
        <v>1500000</v>
      </c>
      <c r="C12" s="16" t="inlineStr"/>
      <c r="D12" s="16" t="inlineStr"/>
      <c r="E12" s="18" t="inlineStr">
        <is>
          <t>■</t>
        </is>
      </c>
      <c r="F12" s="16" t="inlineStr"/>
      <c r="G12" s="16" t="inlineStr"/>
      <c r="H12" s="18" t="inlineStr">
        <is>
          <t>■</t>
        </is>
      </c>
      <c r="I12" s="16" t="inlineStr"/>
      <c r="J12" s="16" t="inlineStr"/>
      <c r="K12" s="16" t="inlineStr"/>
      <c r="L12" s="18" t="inlineStr">
        <is>
          <t>■</t>
        </is>
      </c>
    </row>
    <row r="13" ht="20" customHeight="1">
      <c r="A13" s="14" t="inlineStr">
        <is>
          <t>Ateliers fédérations</t>
        </is>
      </c>
      <c r="B13" s="15" t="n">
        <v>800000</v>
      </c>
      <c r="C13" s="16" t="inlineStr"/>
      <c r="D13" s="16" t="inlineStr"/>
      <c r="E13" s="16" t="inlineStr"/>
      <c r="F13" s="16" t="inlineStr"/>
      <c r="G13" s="18" t="inlineStr">
        <is>
          <t>■</t>
        </is>
      </c>
      <c r="H13" s="18" t="inlineStr">
        <is>
          <t>■</t>
        </is>
      </c>
      <c r="I13" s="16" t="inlineStr"/>
      <c r="J13" s="16" t="inlineStr"/>
      <c r="K13" s="16" t="inlineStr"/>
      <c r="L13" s="16" t="inlineStr"/>
    </row>
    <row r="14" ht="20" customHeight="1">
      <c r="A14" s="14" t="inlineStr">
        <is>
          <t>Portes ouvertes usine</t>
        </is>
      </c>
      <c r="B14" s="15" t="n">
        <v>900000</v>
      </c>
      <c r="C14" s="16" t="inlineStr"/>
      <c r="D14" s="16" t="inlineStr"/>
      <c r="E14" s="16" t="inlineStr"/>
      <c r="F14" s="16" t="inlineStr"/>
      <c r="G14" s="16" t="inlineStr"/>
      <c r="H14" s="19" t="inlineStr">
        <is>
          <t>■</t>
        </is>
      </c>
      <c r="I14" s="16" t="inlineStr"/>
      <c r="J14" s="16" t="inlineStr"/>
      <c r="K14" s="16" t="inlineStr"/>
      <c r="L14" s="16" t="inlineStr"/>
    </row>
    <row r="15" ht="20" customHeight="1">
      <c r="A15" s="14" t="inlineStr">
        <is>
          <t>Salon : préparation</t>
        </is>
      </c>
      <c r="B15" s="15" t="n">
        <v>0</v>
      </c>
      <c r="C15" s="16" t="inlineStr"/>
      <c r="D15" s="16" t="inlineStr"/>
      <c r="E15" s="16" t="inlineStr"/>
      <c r="F15" s="16" t="inlineStr"/>
      <c r="G15" s="16" t="inlineStr"/>
      <c r="H15" s="19" t="inlineStr">
        <is>
          <t>■</t>
        </is>
      </c>
      <c r="I15" s="19" t="inlineStr">
        <is>
          <t>■</t>
        </is>
      </c>
      <c r="J15" s="19" t="inlineStr">
        <is>
          <t>■</t>
        </is>
      </c>
      <c r="K15" s="19" t="inlineStr">
        <is>
          <t>■</t>
        </is>
      </c>
      <c r="L15" s="16" t="inlineStr"/>
    </row>
    <row r="16" ht="20" customHeight="1">
      <c r="A16" s="14" t="inlineStr">
        <is>
          <t>Salon : 7 au 9 octobre</t>
        </is>
      </c>
      <c r="B16" s="15" t="n">
        <v>3500000</v>
      </c>
      <c r="C16" s="16" t="inlineStr"/>
      <c r="D16" s="16" t="inlineStr"/>
      <c r="E16" s="16" t="inlineStr"/>
      <c r="F16" s="16" t="inlineStr"/>
      <c r="G16" s="16" t="inlineStr"/>
      <c r="H16" s="16" t="inlineStr"/>
      <c r="I16" s="16" t="inlineStr"/>
      <c r="J16" s="16" t="inlineStr"/>
      <c r="K16" s="16" t="inlineStr"/>
      <c r="L16" s="19" t="inlineStr">
        <is>
          <t>■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0" customWidth="1" min="3" max="3"/>
    <col width="16" customWidth="1" min="4" max="4"/>
    <col width="60" customWidth="1" min="5" max="5"/>
  </cols>
  <sheetData>
    <row r="1" ht="36" customHeight="1">
      <c r="A1" s="1" t="inlineStr">
        <is>
          <t>Budget · trois scénarios</t>
        </is>
      </c>
      <c r="B1" s="2" t="n"/>
      <c r="C1" s="2" t="n"/>
      <c r="D1" s="2" t="n"/>
      <c r="E1" s="2" t="n"/>
    </row>
    <row r="2" ht="32" customHeight="1">
      <c r="A2" s="3" t="inlineStr">
        <is>
          <t>Enveloppes proposées en F CFA, hors taxes, à confirmer par les devis des supports et par la direction. Rien n’est engagé sans accord.</t>
        </is>
      </c>
    </row>
    <row r="4" ht="30" customHeight="1">
      <c r="A4" s="4" t="inlineStr">
        <is>
          <t>Poste</t>
        </is>
      </c>
      <c r="B4" s="4" t="inlineStr">
        <is>
          <t>Basique</t>
        </is>
      </c>
      <c r="C4" s="4" t="inlineStr">
        <is>
          <t>Médium (recommandé)</t>
        </is>
      </c>
      <c r="D4" s="4" t="inlineStr">
        <is>
          <t>Premium</t>
        </is>
      </c>
      <c r="E4" s="4" t="inlineStr">
        <is>
          <t>Ce que change le scénario</t>
        </is>
      </c>
    </row>
    <row r="5" ht="27" customHeight="1">
      <c r="A5" s="5" t="inlineStr">
        <is>
          <t>LinkedIn publicité</t>
        </is>
      </c>
      <c r="B5" s="10" t="n">
        <v>2500000</v>
      </c>
      <c r="C5" s="10" t="n">
        <v>6000000</v>
      </c>
      <c r="D5" s="10" t="n">
        <v>10000000</v>
      </c>
      <c r="E5" s="20" t="inlineStr">
        <is>
          <t>LinkedIn : une seule vague en basique, deux en médium, trois et plus de ciblages en premium.</t>
        </is>
      </c>
    </row>
    <row r="6" ht="27" customHeight="1">
      <c r="A6" s="5" t="inlineStr">
        <is>
          <t>Google Ads</t>
        </is>
      </c>
      <c r="B6" s="10" t="n">
        <v>1000000</v>
      </c>
      <c r="C6" s="10" t="n">
        <v>2000000</v>
      </c>
      <c r="D6" s="10" t="n">
        <v>3500000</v>
      </c>
      <c r="E6" s="20" t="inlineStr">
        <is>
          <t>Une vague de mots-clés de plus en premium.</t>
        </is>
      </c>
    </row>
    <row r="7" ht="27" customHeight="1">
      <c r="A7" s="5" t="inlineStr">
        <is>
          <t>E-mailing</t>
        </is>
      </c>
      <c r="B7" s="10" t="n">
        <v>300000</v>
      </c>
      <c r="C7" s="10" t="n">
        <v>300000</v>
      </c>
      <c r="D7" s="10" t="n">
        <v>500000</v>
      </c>
      <c r="E7" s="20" t="inlineStr"/>
    </row>
    <row r="8" ht="27" customHeight="1">
      <c r="A8" s="5" t="inlineStr">
        <is>
          <t>Ivoire Industrie Magazine</t>
        </is>
      </c>
      <c r="B8" s="10" t="n">
        <v>0</v>
      </c>
      <c r="C8" s="10" t="n">
        <v>2500000</v>
      </c>
      <c r="D8" s="10" t="n">
        <v>4500000</v>
      </c>
      <c r="E8" s="20" t="inlineStr">
        <is>
          <t>Absent en basique ; 3 parutions en médium ; 5 et un dossier spécial en premium.</t>
        </is>
      </c>
    </row>
    <row r="9" ht="27" customHeight="1">
      <c r="A9" s="5" t="inlineStr">
        <is>
          <t>Presse économique</t>
        </is>
      </c>
      <c r="B9" s="10" t="n">
        <v>300000</v>
      </c>
      <c r="C9" s="10" t="n">
        <v>500000</v>
      </c>
      <c r="D9" s="10" t="n">
        <v>1500000</v>
      </c>
      <c r="E9" s="20" t="inlineStr"/>
    </row>
    <row r="10" ht="27" customHeight="1">
      <c r="A10" s="5" t="inlineStr">
        <is>
          <t>Patronat (CGECI, CCI)</t>
        </is>
      </c>
      <c r="B10" s="10" t="n">
        <v>500000</v>
      </c>
      <c r="C10" s="10" t="n">
        <v>1500000</v>
      </c>
      <c r="D10" s="10" t="n">
        <v>3000000</v>
      </c>
      <c r="E10" s="20" t="inlineStr"/>
    </row>
    <row r="11" ht="27" customHeight="1">
      <c r="A11" s="5" t="inlineStr">
        <is>
          <t>Ateliers fédérations</t>
        </is>
      </c>
      <c r="B11" s="10" t="n">
        <v>0</v>
      </c>
      <c r="C11" s="10" t="n">
        <v>800000</v>
      </c>
      <c r="D11" s="10" t="n">
        <v>1500000</v>
      </c>
      <c r="E11" s="20" t="inlineStr"/>
    </row>
    <row r="12" ht="27" customHeight="1">
      <c r="A12" s="5" t="inlineStr">
        <is>
          <t>Portes ouvertes usine</t>
        </is>
      </c>
      <c r="B12" s="10" t="n">
        <v>600000</v>
      </c>
      <c r="C12" s="10" t="n">
        <v>900000</v>
      </c>
      <c r="D12" s="10" t="n">
        <v>1500000</v>
      </c>
      <c r="E12" s="20" t="inlineStr"/>
    </row>
    <row r="13" ht="27" customHeight="1">
      <c r="A13" s="5" t="inlineStr">
        <is>
          <t>Salon agrofood &amp; plastprintpack</t>
        </is>
      </c>
      <c r="B13" s="10" t="n">
        <v>3500000</v>
      </c>
      <c r="C13" s="10" t="n">
        <v>3500000</v>
      </c>
      <c r="D13" s="10" t="n">
        <v>6000000</v>
      </c>
      <c r="E13" s="20" t="inlineStr">
        <is>
          <t>Stand plus grand et démonstration en premium.</t>
        </is>
      </c>
    </row>
    <row r="14">
      <c r="A14" s="11" t="inlineStr">
        <is>
          <t>Total</t>
        </is>
      </c>
      <c r="B14" s="12">
        <f>SUM(B5:B13)</f>
        <v/>
      </c>
      <c r="C14" s="12">
        <f>SUM(C5:C13)</f>
        <v/>
      </c>
      <c r="D14" s="12">
        <f>SUM(D5:D13)</f>
        <v/>
      </c>
    </row>
    <row r="15">
      <c r="A15" s="11" t="inlineStr">
        <is>
          <t>Objectif de devis qualifiés</t>
        </is>
      </c>
      <c r="B15" s="21" t="n">
        <v>50</v>
      </c>
      <c r="C15" s="21" t="n">
        <v>120</v>
      </c>
      <c r="D15" s="21" t="n">
        <v>200</v>
      </c>
    </row>
    <row r="16">
      <c r="A16" s="11" t="inlineStr">
        <is>
          <t>Coût par devis visé</t>
        </is>
      </c>
      <c r="B16" s="22">
        <f>B14/B15</f>
        <v/>
      </c>
      <c r="C16" s="22">
        <f>C14/C15</f>
        <v/>
      </c>
      <c r="D16" s="22">
        <f>D14/D15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 ht="36" customHeight="1">
      <c r="A1" s="1" t="inlineStr">
        <is>
          <t>Tableau de suivi mensuel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32" customHeight="1">
      <c r="A2" s="3" t="inlineStr">
        <is>
          <t>À remplir chaque fin de mois. Point d’étape fin avril : on coupe ce qui ne produit pas de devis et on renforce ce qui marche.</t>
        </is>
      </c>
    </row>
    <row r="4">
      <c r="A4" s="23" t="inlineStr">
        <is>
          <t>Indicateur</t>
        </is>
      </c>
      <c r="B4" s="23" t="inlineStr">
        <is>
          <t>janv.</t>
        </is>
      </c>
      <c r="C4" s="23" t="inlineStr">
        <is>
          <t>févr.</t>
        </is>
      </c>
      <c r="D4" s="23" t="inlineStr">
        <is>
          <t>mars</t>
        </is>
      </c>
      <c r="E4" s="23" t="inlineStr">
        <is>
          <t>avr.</t>
        </is>
      </c>
      <c r="F4" s="23" t="inlineStr">
        <is>
          <t>mai</t>
        </is>
      </c>
      <c r="G4" s="23" t="inlineStr">
        <is>
          <t>juin</t>
        </is>
      </c>
      <c r="H4" s="23" t="inlineStr">
        <is>
          <t>juil.</t>
        </is>
      </c>
      <c r="I4" s="23" t="inlineStr">
        <is>
          <t>août</t>
        </is>
      </c>
      <c r="J4" s="23" t="inlineStr">
        <is>
          <t>sept.</t>
        </is>
      </c>
      <c r="K4" s="23" t="inlineStr">
        <is>
          <t>oct.</t>
        </is>
      </c>
      <c r="L4" s="23" t="inlineStr">
        <is>
          <t>Cumul</t>
        </is>
      </c>
    </row>
    <row r="5">
      <c r="A5" s="14" t="inlineStr">
        <is>
          <t>Abonnés LinkedIn (page)</t>
        </is>
      </c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14">
        <f>SUM(B5:K5)</f>
        <v/>
      </c>
    </row>
    <row r="6">
      <c r="A6" s="14" t="inlineStr">
        <is>
          <t>Contacts issus de LinkedIn publicité</t>
        </is>
      </c>
      <c r="B6" s="25" t="n"/>
      <c r="C6" s="25" t="n"/>
      <c r="D6" s="25" t="n"/>
      <c r="E6" s="25" t="n"/>
      <c r="F6" s="25" t="n"/>
      <c r="G6" s="25" t="n"/>
      <c r="H6" s="25" t="n"/>
      <c r="I6" s="25" t="n"/>
      <c r="J6" s="25" t="n"/>
      <c r="K6" s="25" t="n"/>
      <c r="L6" s="14">
        <f>SUM(B6:K6)</f>
        <v/>
      </c>
    </row>
    <row r="7">
      <c r="A7" s="14" t="inlineStr">
        <is>
          <t>Demandes de devis reçues (toutes sources)</t>
        </is>
      </c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14">
        <f>SUM(B7:K7)</f>
        <v/>
      </c>
    </row>
    <row r="8">
      <c r="A8" s="14" t="inlineStr">
        <is>
          <t>dont devis citant un média</t>
        </is>
      </c>
      <c r="B8" s="25" t="n"/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  <c r="L8" s="14">
        <f>SUM(B8:K8)</f>
        <v/>
      </c>
    </row>
    <row r="9">
      <c r="A9" s="14" t="inlineStr">
        <is>
          <t>Rendez-vous industriels obtenus</t>
        </is>
      </c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14">
        <f>SUM(B9:K9)</f>
        <v/>
      </c>
    </row>
    <row r="10">
      <c r="A10" s="14" t="inlineStr">
        <is>
          <t>Devis envoyés</t>
        </is>
      </c>
      <c r="B10" s="25" t="n"/>
      <c r="C10" s="25" t="n"/>
      <c r="D10" s="25" t="n"/>
      <c r="E10" s="25" t="n"/>
      <c r="F10" s="25" t="n"/>
      <c r="G10" s="25" t="n"/>
      <c r="H10" s="25" t="n"/>
      <c r="I10" s="25" t="n"/>
      <c r="J10" s="25" t="n"/>
      <c r="K10" s="25" t="n"/>
      <c r="L10" s="14">
        <f>SUM(B10:K10)</f>
        <v/>
      </c>
    </row>
    <row r="11">
      <c r="A11" s="14" t="inlineStr">
        <is>
          <t>Commandes signées</t>
        </is>
      </c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14">
        <f>SUM(B11:K11)</f>
        <v/>
      </c>
    </row>
    <row r="12">
      <c r="A12" s="14" t="inlineStr">
        <is>
          <t>Budget dépensé (F CFA)</t>
        </is>
      </c>
      <c r="B12" s="25" t="n"/>
      <c r="C12" s="25" t="n"/>
      <c r="D12" s="25" t="n"/>
      <c r="E12" s="25" t="n"/>
      <c r="F12" s="25" t="n"/>
      <c r="G12" s="25" t="n"/>
      <c r="H12" s="25" t="n"/>
      <c r="I12" s="25" t="n"/>
      <c r="J12" s="25" t="n"/>
      <c r="K12" s="25" t="n"/>
      <c r="L12" s="14">
        <f>SUM(B12:K12)</f>
        <v/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2026-10-27T11:30:56Z</dcterms:created>
  <dcterms:modified xmlns:dcterms="http://purl.org/dc/terms/" xmlns:xsi="http://www.w3.org/2001/XMLSchema-instance" xsi:type="dcterms:W3CDTF">2026-10-27T11:30:56Z</dcterms:modified>
</cp:coreProperties>
</file>