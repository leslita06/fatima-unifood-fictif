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lendrier novembre" sheetId="1" state="visible" r:id="rId1"/>
    <sheet xmlns:r="http://schemas.openxmlformats.org/officeDocument/2006/relationships" name="Repères" sheetId="2" state="visible" r:id="rId2"/>
  </sheets>
  <definedNames>
    <definedName name="_xlnm.Print_Titles" localSheetId="0">'Calendrier novembre'!$3:$3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color rgb="00111111"/>
      <sz val="10"/>
    </font>
    <font>
      <name val="Arial"/>
      <b val="1"/>
      <color rgb="00111111"/>
      <sz val="10"/>
    </font>
    <font>
      <name val="Arial"/>
      <color rgb="000B63CE"/>
      <sz val="10"/>
      <u val="single"/>
    </font>
    <font>
      <name val="Arial"/>
      <b val="1"/>
      <color rgb="00FD8103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8103"/>
      </patternFill>
    </fill>
    <fill>
      <patternFill patternType="solid">
        <fgColor rgb="00111111"/>
      </patternFill>
    </fill>
    <fill>
      <patternFill patternType="solid">
        <fgColor rgb="00FFFFFF"/>
      </patternFill>
    </fill>
    <fill>
      <patternFill patternType="solid">
        <fgColor rgb="00FFF1E0"/>
      </patternFill>
    </fill>
    <fill>
      <patternFill patternType="solid">
        <fgColor rgb="00EAF7F1"/>
      </patternFill>
    </fill>
  </fills>
  <borders count="2">
    <border>
      <left/>
      <right/>
      <top/>
      <bottom/>
      <diagonal/>
    </border>
    <border>
      <left style="thin">
        <color rgb="00E3E3E3"/>
      </left>
      <right style="thin">
        <color rgb="00E3E3E3"/>
      </right>
      <top style="thin">
        <color rgb="00E3E3E3"/>
      </top>
      <bottom style="thin">
        <color rgb="00E3E3E3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applyAlignment="1" pivotButton="0" quotePrefix="0" xfId="0">
      <alignment vertical="center" wrapText="1" inden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vertical="top" wrapText="1"/>
    </xf>
    <xf numFmtId="0" fontId="7" fillId="4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7" fillId="0" borderId="0" pivotButton="0" quotePrefix="0" xfId="0"/>
    <xf numFmtId="0" fontId="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7" customWidth="1" min="3" max="3"/>
    <col width="12" customWidth="1" min="4" max="4"/>
    <col width="13" customWidth="1" min="5" max="5"/>
    <col width="26" customWidth="1" min="6" max="6"/>
    <col width="70" customWidth="1" min="7" max="7"/>
    <col width="28" customWidth="1" min="8" max="8"/>
    <col width="16" customWidth="1" min="9" max="9"/>
    <col width="16" customWidth="1" min="10" max="10"/>
    <col width="14" customWidth="1" min="11" max="11"/>
  </cols>
  <sheetData>
    <row r="1" ht="34" customHeight="1">
      <c r="A1" s="1" t="inlineStr">
        <is>
          <t>COTIPLAST · Calendrier LinkedIn · novembre 2026</t>
        </is>
      </c>
    </row>
    <row r="2" ht="30" customHeight="1">
      <c r="A2" s="2" t="inlineStr">
        <is>
          <t>12 publications, 3 par semaine (mardi, mercredi, jeudi). Visuels 1080 × 1350 dans le dossier Drive « Visuels LinkedIn · novembre 2026 ». Rien n'est publié avant validation.</t>
        </is>
      </c>
    </row>
    <row r="3" ht="24" customHeight="1">
      <c r="A3" s="3" t="inlineStr">
        <is>
          <t>N°</t>
        </is>
      </c>
      <c r="B3" s="3" t="inlineStr">
        <is>
          <t>Date</t>
        </is>
      </c>
      <c r="C3" s="3" t="inlineStr">
        <is>
          <t>Heure</t>
        </is>
      </c>
      <c r="D3" s="3" t="inlineStr">
        <is>
          <t>Pilier</t>
        </is>
      </c>
      <c r="E3" s="3" t="inlineStr">
        <is>
          <t>Format</t>
        </is>
      </c>
      <c r="F3" s="3" t="inlineStr">
        <is>
          <t>Sujet</t>
        </is>
      </c>
      <c r="G3" s="3" t="inlineStr">
        <is>
          <t>Texte du post</t>
        </is>
      </c>
      <c r="H3" s="3" t="inlineStr">
        <is>
          <t>Hashtags</t>
        </is>
      </c>
      <c r="I3" s="3" t="inlineStr">
        <is>
          <t>Visuel</t>
        </is>
      </c>
      <c r="J3" s="3" t="inlineStr">
        <is>
          <t>Objectif</t>
        </is>
      </c>
      <c r="K3" s="3" t="inlineStr">
        <is>
          <t>Statut</t>
        </is>
      </c>
    </row>
    <row r="4" ht="105" customHeight="1">
      <c r="A4" s="4" t="n">
        <v>1</v>
      </c>
      <c r="B4" s="5" t="inlineStr">
        <is>
          <t>mar. 3 nov.</t>
        </is>
      </c>
      <c r="C4" s="4" t="inlineStr">
        <is>
          <t>10 h</t>
        </is>
      </c>
      <c r="D4" s="6" t="inlineStr">
        <is>
          <t>Notoriété</t>
        </is>
      </c>
      <c r="E4" s="7" t="inlineStr">
        <is>
          <t>Image + texte</t>
        </is>
      </c>
      <c r="F4" s="5" t="inlineStr">
        <is>
          <t>Qui sommes-nous</t>
        </is>
      </c>
      <c r="G4" s="7" t="inlineStr">
        <is>
          <t>Depuis 1992, COTIPLAST fabrique à Yopougon les emballages souples de l'industrie ivoirienne : films, sacs, big bags, packaging, étiquettes.
Cette page sera notre atelier ouvert : nos produits, nos méthodes, nos engagements. Abonnez-vous pour suivre ce qui sort de nos lignes.</t>
        </is>
      </c>
      <c r="H4" s="7" t="inlineStr">
        <is>
          <t>#Emballage #Plasturgie #CôteDIvoire #Industrie #FabriquéEnCôteDIvoire</t>
        </is>
      </c>
      <c r="I4" s="8">
        <f>HYPERLINK("https://drive.google.com/file/d/1Z63fzOD9iN-5jBXFoIJj1z6EaDqORXLl/view","Voir le visuel 01")</f>
        <v/>
      </c>
      <c r="J4" s="7" t="inlineStr">
        <is>
          <t>Abonnés</t>
        </is>
      </c>
      <c r="K4" s="9" t="inlineStr">
        <is>
          <t>À valider</t>
        </is>
      </c>
    </row>
    <row r="5" ht="120" customHeight="1">
      <c r="A5" s="4" t="n">
        <v>2</v>
      </c>
      <c r="B5" s="5" t="inlineStr">
        <is>
          <t>mer. 4 nov.</t>
        </is>
      </c>
      <c r="C5" s="4" t="inlineStr">
        <is>
          <t>12 h</t>
        </is>
      </c>
      <c r="D5" s="6" t="inlineStr">
        <is>
          <t>Notoriété</t>
        </is>
      </c>
      <c r="E5" s="7" t="inlineStr">
        <is>
          <t>Image + liste</t>
        </is>
      </c>
      <c r="F5" s="5" t="inlineStr">
        <is>
          <t>COTIPLAST en quatre repères</t>
        </is>
      </c>
      <c r="G5" s="7" t="inlineStr">
        <is>
          <t>Quatre repères pour nous connaître :
• 1992 : création, zone industrielle de Yopougon
• 2017 : ouverture du département packaging
• 2018 : certification ISO 9001 version 2015
• 3 zones servies : UEMOA, CEDEAO, CEMAC</t>
        </is>
      </c>
      <c r="H5" s="7" t="inlineStr">
        <is>
          <t>#Emballage #Plasturgie #CôteDIvoire #Industrie #UEMOA</t>
        </is>
      </c>
      <c r="I5" s="8">
        <f>HYPERLINK("https://drive.google.com/file/d/14Br04yHQEk5ZR8Fwh_HqYIgofOcgLgLl/view","Voir le visuel 02")</f>
        <v/>
      </c>
      <c r="J5" s="7" t="inlineStr">
        <is>
          <t>Abonnés</t>
        </is>
      </c>
      <c r="K5" s="9" t="inlineStr">
        <is>
          <t>À valider</t>
        </is>
      </c>
    </row>
    <row r="6" ht="105" customHeight="1">
      <c r="A6" s="4" t="n">
        <v>3</v>
      </c>
      <c r="B6" s="5" t="inlineStr">
        <is>
          <t>jeu. 5 nov.</t>
        </is>
      </c>
      <c r="C6" s="4" t="inlineStr">
        <is>
          <t>10 h</t>
        </is>
      </c>
      <c r="D6" s="7" t="inlineStr">
        <is>
          <t>Produits</t>
        </is>
      </c>
      <c r="E6" s="7" t="inlineStr">
        <is>
          <t>Image + texte</t>
        </is>
      </c>
      <c r="F6" s="5" t="inlineStr">
        <is>
          <t>Le film polyéthylène</t>
        </is>
      </c>
      <c r="G6" s="7" t="inlineStr">
        <is>
          <t>Regrouper des packs, protéger des palettes, conditionner : le film polyéthylène est le premier rempart de vos produits.
Nous le fabriquons à Abidjan, au format de vos lignes. Quel est votre usage ? Dites-le-nous en commentaire.</t>
        </is>
      </c>
      <c r="H6" s="7" t="inlineStr">
        <is>
          <t>#Emballage #Plasturgie #CôteDIvoire #Industrie #FilmPlastique #Logistique</t>
        </is>
      </c>
      <c r="I6" s="8">
        <f>HYPERLINK("https://drive.google.com/file/d/19jg-hPrZhlZdH0vg2ENRYHYVQJp2Tjy5/view","Voir le visuel 03")</f>
        <v/>
      </c>
      <c r="J6" s="7" t="inlineStr">
        <is>
          <t>Commentaires</t>
        </is>
      </c>
      <c r="K6" s="9" t="inlineStr">
        <is>
          <t>À valider</t>
        </is>
      </c>
    </row>
    <row r="7" ht="90" customHeight="1">
      <c r="A7" s="4" t="n">
        <v>4</v>
      </c>
      <c r="B7" s="5" t="inlineStr">
        <is>
          <t>mar. 10 nov.</t>
        </is>
      </c>
      <c r="C7" s="4" t="inlineStr">
        <is>
          <t>10 h</t>
        </is>
      </c>
      <c r="D7" s="7" t="inlineStr">
        <is>
          <t>Produits</t>
        </is>
      </c>
      <c r="E7" s="7" t="inlineStr">
        <is>
          <t>Image + texte</t>
        </is>
      </c>
      <c r="F7" s="5" t="inlineStr">
        <is>
          <t>Big bags et liner bags</t>
        </is>
      </c>
      <c r="G7" s="7" t="inlineStr">
        <is>
          <t>Céréales, ciment, granulés : le vrac se stocke et se transporte sans pertes dans un big bag adapté.
COTIPLAST fabrique big bags et liner bags pour les industriels de la sous-région. Parlons de vos volumes.</t>
        </is>
      </c>
      <c r="H7" s="7" t="inlineStr">
        <is>
          <t>#Emballage #Plasturgie #CôteDIvoire #Industrie #BigBag #AgroIndustrie</t>
        </is>
      </c>
      <c r="I7" s="8">
        <f>HYPERLINK("https://drive.google.com/file/d/1dKIPB0hiK40iPmmUdExc_njMnCDg3JCB/view","Voir le visuel 04")</f>
        <v/>
      </c>
      <c r="J7" s="7" t="inlineStr">
        <is>
          <t>Demandes de devis</t>
        </is>
      </c>
      <c r="K7" s="9" t="inlineStr">
        <is>
          <t>À valider</t>
        </is>
      </c>
    </row>
    <row r="8" ht="180" customHeight="1">
      <c r="A8" s="4" t="n">
        <v>5</v>
      </c>
      <c r="B8" s="5" t="inlineStr">
        <is>
          <t>mer. 11 nov.</t>
        </is>
      </c>
      <c r="C8" s="4" t="inlineStr">
        <is>
          <t>12 h</t>
        </is>
      </c>
      <c r="D8" s="10" t="inlineStr">
        <is>
          <t>Conseil</t>
        </is>
      </c>
      <c r="E8" s="7" t="inlineStr">
        <is>
          <t>Image + liste</t>
        </is>
      </c>
      <c r="F8" s="5" t="inlineStr">
        <is>
          <t>Cinq questions avant de choisir un emballage</t>
        </is>
      </c>
      <c r="G8" s="7" t="inlineStr">
        <is>
          <t>Avant de choisir un emballage, cinq questions :
1. Que doit-il protéger ?
2. Sur quelle machine, à quelle cadence ?
3. Combien de temps de stockage ?
4. Que doit-il dire en rayon ?
5. Quels volumes, quel rythme de livraison ?
Avec ces réponses, nous vous proposons la bonne matière.</t>
        </is>
      </c>
      <c r="H8" s="7" t="inlineStr">
        <is>
          <t>#Emballage #Plasturgie #CôteDIvoire #Industrie #Packaging #Achats</t>
        </is>
      </c>
      <c r="I8" s="8">
        <f>HYPERLINK("https://drive.google.com/file/d/1ssFuGulOMVV4-87qSmIEBhvaayZIKfKt/view","Voir le visuel 05")</f>
        <v/>
      </c>
      <c r="J8" s="7" t="inlineStr">
        <is>
          <t>Enregistrements</t>
        </is>
      </c>
      <c r="K8" s="9" t="inlineStr">
        <is>
          <t>À valider</t>
        </is>
      </c>
    </row>
    <row r="9" ht="90" customHeight="1">
      <c r="A9" s="4" t="n">
        <v>6</v>
      </c>
      <c r="B9" s="5" t="inlineStr">
        <is>
          <t>jeu. 12 nov.</t>
        </is>
      </c>
      <c r="C9" s="4" t="inlineStr">
        <is>
          <t>10 h</t>
        </is>
      </c>
      <c r="D9" s="7" t="inlineStr">
        <is>
          <t>Produits</t>
        </is>
      </c>
      <c r="E9" s="7" t="inlineStr">
        <is>
          <t>Image + texte</t>
        </is>
      </c>
      <c r="F9" s="5" t="inlineStr">
        <is>
          <t>Un emballage qui protège et qui vend</t>
        </is>
      </c>
      <c r="G9" s="7" t="inlineStr">
        <is>
          <t>En rayon, l'emballage est le premier vendeur de votre produit.
COTIPLAST imprime vos sachets et emballages à vos couleurs, pour l'agroalimentaire et les produits de grande consommation.</t>
        </is>
      </c>
      <c r="H9" s="7" t="inlineStr">
        <is>
          <t>#Emballage #Plasturgie #CôteDIvoire #Industrie #Packaging #Agroalimentaire</t>
        </is>
      </c>
      <c r="I9" s="8">
        <f>HYPERLINK("https://drive.google.com/file/d/1bUlums-pDworCRYeM408giaN2bPfkrJT/view","Voir le visuel 06")</f>
        <v/>
      </c>
      <c r="J9" s="7" t="inlineStr">
        <is>
          <t>Demandes de devis</t>
        </is>
      </c>
      <c r="K9" s="9" t="inlineStr">
        <is>
          <t>À valider</t>
        </is>
      </c>
    </row>
    <row r="10" ht="60" customHeight="1">
      <c r="A10" s="4" t="n">
        <v>7</v>
      </c>
      <c r="B10" s="5" t="inlineStr">
        <is>
          <t>mar. 17 nov.</t>
        </is>
      </c>
      <c r="C10" s="4" t="inlineStr">
        <is>
          <t>10 h</t>
        </is>
      </c>
      <c r="D10" s="10" t="inlineStr">
        <is>
          <t>Preuve</t>
        </is>
      </c>
      <c r="E10" s="7" t="inlineStr">
        <is>
          <t>Image + liste</t>
        </is>
      </c>
      <c r="F10" s="5" t="inlineStr">
        <is>
          <t>ISO 9001 : ce que cela change pour vous</t>
        </is>
      </c>
      <c r="G10" s="7" t="inlineStr">
        <is>
          <t>Certifiée ISO 9001 version 2015 depuis 2018 : pour vous, cela veut dire des procédés écrits et suivis, des contrôles à chaque étape, une traçabilité de chaque lot, et une écoute client mesurée chaque année.</t>
        </is>
      </c>
      <c r="H10" s="7" t="inlineStr">
        <is>
          <t>#Emballage #Plasturgie #CôteDIvoire #Industrie #Qualité #ISO9001</t>
        </is>
      </c>
      <c r="I10" s="8">
        <f>HYPERLINK("https://drive.google.com/file/d/1fdwQwOvDlYmLBIi-YEjSvmKQiaV9jDmS/view","Voir le visuel 07")</f>
        <v/>
      </c>
      <c r="J10" s="7" t="inlineStr">
        <is>
          <t>Crédibilité</t>
        </is>
      </c>
      <c r="K10" s="9" t="inlineStr">
        <is>
          <t>À valider</t>
        </is>
      </c>
    </row>
    <row r="11" ht="90" customHeight="1">
      <c r="A11" s="4" t="n">
        <v>8</v>
      </c>
      <c r="B11" s="5" t="inlineStr">
        <is>
          <t>mer. 18 nov.</t>
        </is>
      </c>
      <c r="C11" s="4" t="inlineStr">
        <is>
          <t>12 h</t>
        </is>
      </c>
      <c r="D11" s="10" t="inlineStr">
        <is>
          <t>Engagement</t>
        </is>
      </c>
      <c r="E11" s="7" t="inlineStr">
        <is>
          <t>Image + liste</t>
        </is>
      </c>
      <c r="F11" s="5" t="inlineStr">
        <is>
          <t>La seconde vie du plastique</t>
        </is>
      </c>
      <c r="G11" s="7" t="inlineStr">
        <is>
          <t>Le plastique a une seconde vie dans nos usines.
Notre département recyclage récupère les déchets plastiques pour les remettre en production, avec des centres de collecte développés aux côtés du ministère de l'Environnement.</t>
        </is>
      </c>
      <c r="H11" s="7" t="inlineStr">
        <is>
          <t>#Emballage #Plasturgie #CôteDIvoire #Industrie #Recyclage #ÉconomieCirculaire</t>
        </is>
      </c>
      <c r="I11" s="8">
        <f>HYPERLINK("https://drive.google.com/file/d/1a48JEqK8_1jYt_wg4L5gzCQlgSCX4OZg/view","Voir le visuel 08")</f>
        <v/>
      </c>
      <c r="J11" s="7" t="inlineStr">
        <is>
          <t>Partages</t>
        </is>
      </c>
      <c r="K11" s="9" t="inlineStr">
        <is>
          <t>À valider</t>
        </is>
      </c>
    </row>
    <row r="12" ht="60" customHeight="1">
      <c r="A12" s="4" t="n">
        <v>9</v>
      </c>
      <c r="B12" s="5" t="inlineStr">
        <is>
          <t>jeu. 19 nov.</t>
        </is>
      </c>
      <c r="C12" s="4" t="inlineStr">
        <is>
          <t>10 h</t>
        </is>
      </c>
      <c r="D12" s="7" t="inlineStr">
        <is>
          <t>Produits</t>
        </is>
      </c>
      <c r="E12" s="7" t="inlineStr">
        <is>
          <t>Image + texte</t>
        </is>
      </c>
      <c r="F12" s="5" t="inlineStr">
        <is>
          <t>Étiquettes et manchons</t>
        </is>
      </c>
      <c r="G12" s="7" t="inlineStr">
        <is>
          <t>Votre marque, nette sur chaque produit : étiquettes adhésives en PE, PP et papier, manchons rétractables, avec l'impression et les finitions qui vous ressemblent.</t>
        </is>
      </c>
      <c r="H12" s="7" t="inlineStr">
        <is>
          <t>#Emballage #Plasturgie #CôteDIvoire #Industrie #Étiquettes #Marque</t>
        </is>
      </c>
      <c r="I12" s="8">
        <f>HYPERLINK("https://drive.google.com/file/d/19nwtfxEP8KruoKgWqoS84prnxH8zrvIp/view","Voir le visuel 09")</f>
        <v/>
      </c>
      <c r="J12" s="7" t="inlineStr">
        <is>
          <t>Demandes de devis</t>
        </is>
      </c>
      <c r="K12" s="9" t="inlineStr">
        <is>
          <t>À valider</t>
        </is>
      </c>
    </row>
    <row r="13" ht="90" customHeight="1">
      <c r="A13" s="4" t="n">
        <v>10</v>
      </c>
      <c r="B13" s="5" t="inlineStr">
        <is>
          <t>mar. 24 nov.</t>
        </is>
      </c>
      <c r="C13" s="4" t="inlineStr">
        <is>
          <t>10 h</t>
        </is>
      </c>
      <c r="D13" s="6" t="inlineStr">
        <is>
          <t>Notoriété</t>
        </is>
      </c>
      <c r="E13" s="7" t="inlineStr">
        <is>
          <t>Image + frise</t>
        </is>
      </c>
      <c r="F13" s="5" t="inlineStr">
        <is>
          <t>Plus de trente ans d’emballage</t>
        </is>
      </c>
      <c r="G13" s="7" t="inlineStr">
        <is>
          <t>1992, 2007, 2013, 2014, 2017, 2018 : six dates qui racontent plus de trente ans d'emballage en Côte d'Ivoire.
Merci aux équipes et aux clients qui les ont rendues possibles.</t>
        </is>
      </c>
      <c r="H13" s="7" t="inlineStr">
        <is>
          <t>#Emballage #Plasturgie #CôteDIvoire #Industrie #Histoire</t>
        </is>
      </c>
      <c r="I13" s="8">
        <f>HYPERLINK("https://drive.google.com/file/d/1Wsj9Ha-HzyHA-FJrIbNMKrKwHneHJzZ2/view","Voir le visuel 10")</f>
        <v/>
      </c>
      <c r="J13" s="7" t="inlineStr">
        <is>
          <t>Réactions</t>
        </is>
      </c>
      <c r="K13" s="9" t="inlineStr">
        <is>
          <t>À valider</t>
        </is>
      </c>
    </row>
    <row r="14" ht="90" customHeight="1">
      <c r="A14" s="4" t="n">
        <v>11</v>
      </c>
      <c r="B14" s="5" t="inlineStr">
        <is>
          <t>mer. 25 nov.</t>
        </is>
      </c>
      <c r="C14" s="4" t="inlineStr">
        <is>
          <t>12 h</t>
        </is>
      </c>
      <c r="D14" s="7" t="inlineStr">
        <is>
          <t>Produits</t>
        </is>
      </c>
      <c r="E14" s="7" t="inlineStr">
        <is>
          <t>Image + texte</t>
        </is>
      </c>
      <c r="F14" s="5" t="inlineStr">
        <is>
          <t>Les secteurs que nous servons</t>
        </is>
      </c>
      <c r="G14" s="7" t="inlineStr">
        <is>
          <t>Agroalimentaire, boissons, BTP, distribution, logistique : chaque secteur a ses contraintes.
Nous adaptons la matière, le format et l'impression à chacune. Votre secteur n'est pas dans la liste ? Écrivez-nous.</t>
        </is>
      </c>
      <c r="H14" s="7" t="inlineStr">
        <is>
          <t>#Emballage #Plasturgie #CôteDIvoire #Industrie #Agroalimentaire #BTP</t>
        </is>
      </c>
      <c r="I14" s="8">
        <f>HYPERLINK("https://drive.google.com/file/d/1OuvlSchh0dMIYHAr98CB-KV5rdCRjkW9/view","Voir le visuel 11")</f>
        <v/>
      </c>
      <c r="J14" s="7" t="inlineStr">
        <is>
          <t>Commentaires</t>
        </is>
      </c>
      <c r="K14" s="9" t="inlineStr">
        <is>
          <t>À valider</t>
        </is>
      </c>
    </row>
    <row r="15" ht="90" customHeight="1">
      <c r="A15" s="4" t="n">
        <v>12</v>
      </c>
      <c r="B15" s="5" t="inlineStr">
        <is>
          <t>jeu. 26 nov.</t>
        </is>
      </c>
      <c r="C15" s="4" t="inlineStr">
        <is>
          <t>10 h</t>
        </is>
      </c>
      <c r="D15" s="6" t="inlineStr">
        <is>
          <t>Contact</t>
        </is>
      </c>
      <c r="E15" s="7" t="inlineStr">
        <is>
          <t>Image + appel</t>
        </is>
      </c>
      <c r="F15" s="5" t="inlineStr">
        <is>
          <t>Parlons de votre projet</t>
        </is>
      </c>
      <c r="G15" s="7" t="inlineStr">
        <is>
          <t>Votre prochain emballage se fabrique à Yopougon.
Écrivez-nous à cotiplastci@cotiplast.net ou appelez le +225 27 23 46 64 27 : nous étudions votre besoin et revenons vers vous avec une proposition.</t>
        </is>
      </c>
      <c r="H15" s="7" t="inlineStr">
        <is>
          <t>#Emballage #Plasturgie #CôteDIvoire #Industrie #Fournisseur</t>
        </is>
      </c>
      <c r="I15" s="8">
        <f>HYPERLINK("https://drive.google.com/file/d/1xM72NNK1997cUvFjkF9fVaS-K8shrzfp/view","Voir le visuel 12")</f>
        <v/>
      </c>
      <c r="J15" s="7" t="inlineStr">
        <is>
          <t>Contacts entrants</t>
        </is>
      </c>
      <c r="K15" s="9" t="inlineStr">
        <is>
          <t>À valider</t>
        </is>
      </c>
    </row>
  </sheetData>
  <mergeCells count="2">
    <mergeCell ref="A2:K2"/>
    <mergeCell ref="A1:K1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6" customWidth="1" min="1" max="1"/>
    <col width="95" customWidth="1" min="2" max="2"/>
  </cols>
  <sheetData>
    <row r="1" ht="30" customHeight="1">
      <c r="A1" s="11" t="inlineStr">
        <is>
          <t>Rythme</t>
        </is>
      </c>
      <c r="B1" s="12" t="inlineStr">
        <is>
          <t>3 publications par semaine : mardi 10 h, mercredi 12 h, jeudi 10 h</t>
        </is>
      </c>
    </row>
    <row r="2" ht="30" customHeight="1">
      <c r="A2" s="11" t="inlineStr">
        <is>
          <t>Répartition</t>
        </is>
      </c>
      <c r="B2" s="12" t="inlineStr">
        <is>
          <t>5 produits, 3 notoriété, 3 preuve et engagement, 1 contact</t>
        </is>
      </c>
    </row>
    <row r="3" ht="30" customHeight="1">
      <c r="A3" s="11" t="inlineStr">
        <is>
          <t>Visuels</t>
        </is>
      </c>
      <c r="B3" s="12" t="inlineStr">
        <is>
          <t>12 visuels 1080 × 1350 aux couleurs COTIPLAST, photos issues de cotiplast.net</t>
        </is>
      </c>
    </row>
    <row r="4" ht="30" customHeight="1">
      <c r="A4" s="11" t="inlineStr">
        <is>
          <t>À mesurer chaque semaine</t>
        </is>
      </c>
      <c r="B4" s="12" t="inlineStr">
        <is>
          <t>Abonnés gagnés, impressions, taux d’interaction, messages et demandes de devis reçus</t>
        </is>
      </c>
    </row>
    <row r="5" ht="30" customHeight="1">
      <c r="A5" s="11" t="inlineStr">
        <is>
          <t>Avant publication</t>
        </is>
      </c>
      <c r="B5" s="12" t="inlineStr">
        <is>
          <t>Validation du texte et du visuel par COTIPLAST ; vérifier que la page est complète (logo, bannière, description, site)</t>
        </is>
      </c>
    </row>
    <row r="6" ht="30" customHeight="1">
      <c r="A6" s="11" t="inlineStr">
        <is>
          <t>Source des faits</t>
        </is>
      </c>
      <c r="B6" s="12" t="inlineStr">
        <is>
          <t>Site cotiplast.net (histoire, produits, certification, coordonnées)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2026-10-27T11:18:25Z</dcterms:created>
  <dcterms:modified xmlns:dcterms="http://purl.org/dc/terms/" xmlns:xsi="http://www.w3.org/2001/XMLSchema-instance" xsi:type="dcterms:W3CDTF">2026-10-27T11:18:25Z</dcterms:modified>
</cp:coreProperties>
</file>