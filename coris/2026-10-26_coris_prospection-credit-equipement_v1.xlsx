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irigeants" sheetId="2" state="visible" r:id="rId2"/>
    <sheet xmlns:r="http://schemas.openxmlformats.org/officeDocument/2006/relationships" name="Secteurs" sheetId="3" state="visible" r:id="rId3"/>
    <sheet xmlns:r="http://schemas.openxmlformats.org/officeDocument/2006/relationships" name="Paramèt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00539F"/>
      <sz val="15"/>
    </font>
    <font>
      <name val="Arial"/>
      <color rgb="002B2B2E"/>
      <sz val="10"/>
    </font>
    <font>
      <name val="Arial"/>
      <b val="1"/>
      <color rgb="00FFFFFF"/>
      <sz val="10"/>
    </font>
    <font>
      <name val="Arial"/>
      <b val="1"/>
      <color rgb="0000539F"/>
      <sz val="10"/>
    </font>
    <font>
      <name val="Arial"/>
      <b val="1"/>
      <color rgb="0000539F"/>
      <sz val="11"/>
    </font>
  </fonts>
  <fills count="4">
    <fill>
      <patternFill/>
    </fill>
    <fill>
      <patternFill patternType="gray125"/>
    </fill>
    <fill>
      <patternFill patternType="solid">
        <fgColor rgb="0000539F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5DEEA"/>
      </left>
      <right style="thin">
        <color rgb="00D5DEEA"/>
      </right>
      <top style="thin">
        <color rgb="00D5DEEA"/>
      </top>
      <bottom style="thin">
        <color rgb="00D5DE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42875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Suivi de la campagne</t>
        </is>
      </c>
    </row>
    <row r="2">
      <c r="A2" s="2" t="inlineStr">
        <is>
          <t>Coris Bank International Côte d'Ivoire · Banque des Entreprises · crédit d'équipement</t>
        </is>
      </c>
    </row>
    <row r="5">
      <c r="A5" s="3" t="inlineStr">
        <is>
          <t>Indicateur</t>
        </is>
      </c>
      <c r="B5" s="3" t="inlineStr">
        <is>
          <t>Nombre</t>
        </is>
      </c>
    </row>
    <row r="6">
      <c r="A6" s="4" t="inlineStr">
        <is>
          <t>Dirigeants saisis</t>
        </is>
      </c>
      <c r="B6" s="5">
        <f>COUNTA(Dirigeants!D5:D64)</f>
        <v/>
      </c>
    </row>
    <row r="7">
      <c r="A7" s="4" t="inlineStr">
        <is>
          <t>E-mails prêts (prénom et entreprise saisis)</t>
        </is>
      </c>
      <c r="B7" s="5">
        <f>COUNTIF(Dirigeants!L5:L64,"?*")</f>
        <v/>
      </c>
    </row>
    <row r="8">
      <c r="A8" s="4" t="inlineStr">
        <is>
          <t>Contacts à vérifier avant envoi</t>
        </is>
      </c>
      <c r="B8" s="5">
        <f>COUNTIF(Dirigeants!H5:H64,"Contact à vérifier")</f>
        <v/>
      </c>
    </row>
    <row r="9">
      <c r="A9" s="4" t="inlineStr">
        <is>
          <t>Validés</t>
        </is>
      </c>
      <c r="B9" s="5">
        <f>COUNTIF(Dirigeants!N5:N64,"Validé")</f>
        <v/>
      </c>
    </row>
    <row r="10">
      <c r="A10" s="4" t="inlineStr">
        <is>
          <t>Envoyés</t>
        </is>
      </c>
      <c r="B10" s="5">
        <f>COUNTIF(Dirigeants!N5:N64,"Envoyé")+COUNTIF(Dirigeants!N5:N64,"Relancé")+COUNTIF(Dirigeants!N5:N64,"Rendez-vous pris")+COUNTIF(Dirigeants!N5:N64,"Pas intéressé")</f>
        <v/>
      </c>
    </row>
    <row r="11">
      <c r="A11" s="4" t="inlineStr">
        <is>
          <t>Relancés</t>
        </is>
      </c>
      <c r="B11" s="5">
        <f>COUNTIF(Dirigeants!N5:N64,"Relancé")</f>
        <v/>
      </c>
    </row>
    <row r="12">
      <c r="A12" s="4" t="inlineStr">
        <is>
          <t>Rendez-vous pris</t>
        </is>
      </c>
      <c r="B12" s="5">
        <f>COUNTIF(Dirigeants!N5:N64,"Rendez-vous pris")</f>
        <v/>
      </c>
    </row>
    <row r="13">
      <c r="A13" s="4" t="inlineStr">
        <is>
          <t>Pas intéressés</t>
        </is>
      </c>
      <c r="B13" s="5">
        <f>COUNTIF(Dirigeants!N5:N64,"Pas intéressé")</f>
        <v/>
      </c>
    </row>
    <row r="14">
      <c r="A14" s="4" t="inlineStr">
        <is>
          <t>Ne plus contacter</t>
        </is>
      </c>
      <c r="B14" s="5">
        <f>COUNTIF(Dirigeants!N5:N64,"Ne plus contacter")</f>
        <v/>
      </c>
    </row>
    <row r="17">
      <c r="A17" s="3" t="inlineStr">
        <is>
          <t>Secteur</t>
        </is>
      </c>
      <c r="B17" s="3" t="inlineStr">
        <is>
          <t>Dirigeants</t>
        </is>
      </c>
    </row>
    <row r="18">
      <c r="A18" s="6" t="inlineStr">
        <is>
          <t>BTP et génie civil</t>
        </is>
      </c>
      <c r="B18" s="6">
        <f>COUNTIF(Dirigeants!E5:E64,A18)</f>
        <v/>
      </c>
    </row>
    <row r="19">
      <c r="A19" s="6" t="inlineStr">
        <is>
          <t>Transport et logistique</t>
        </is>
      </c>
      <c r="B19" s="6">
        <f>COUNTIF(Dirigeants!E5:E64,A19)</f>
        <v/>
      </c>
    </row>
    <row r="20">
      <c r="A20" s="6" t="inlineStr">
        <is>
          <t>Agro-industrie et transformation</t>
        </is>
      </c>
      <c r="B20" s="6">
        <f>COUNTIF(Dirigeants!E5:E64,A20)</f>
        <v/>
      </c>
    </row>
    <row r="21">
      <c r="A21" s="6" t="inlineStr">
        <is>
          <t>Commerce et distribution</t>
        </is>
      </c>
      <c r="B21" s="6">
        <f>COUNTIF(Dirigeants!E5:E64,A21)</f>
        <v/>
      </c>
    </row>
    <row r="22">
      <c r="A22" s="6" t="inlineStr">
        <is>
          <t>Santé (clinique, laboratoire, cabinet)</t>
        </is>
      </c>
      <c r="B22" s="6">
        <f>COUNTIF(Dirigeants!E5:E64,A22)</f>
        <v/>
      </c>
    </row>
    <row r="23">
      <c r="A23" s="6" t="inlineStr">
        <is>
          <t>Hôtellerie et restauration</t>
        </is>
      </c>
      <c r="B23" s="6">
        <f>COUNTIF(Dirigeants!E5:E64,A23)</f>
        <v/>
      </c>
    </row>
    <row r="24">
      <c r="A24" s="6" t="inlineStr">
        <is>
          <t>Industrie et production</t>
        </is>
      </c>
      <c r="B24" s="6">
        <f>COUNTIF(Dirigeants!E5:E64,A24)</f>
        <v/>
      </c>
    </row>
    <row r="25">
      <c r="A25" s="6" t="inlineStr">
        <is>
          <t>Imprimerie et communication</t>
        </is>
      </c>
      <c r="B25" s="6">
        <f>COUNTIF(Dirigeants!E5:E64,A25)</f>
        <v/>
      </c>
    </row>
    <row r="26">
      <c r="A26" s="6" t="inlineStr">
        <is>
          <t>Services numériques et télécoms</t>
        </is>
      </c>
      <c r="B26" s="6">
        <f>COUNTIF(Dirigeants!E5:E64,A26)</f>
        <v/>
      </c>
    </row>
    <row r="27">
      <c r="A27" s="6" t="inlineStr">
        <is>
          <t>Agriculture et élevage</t>
        </is>
      </c>
      <c r="B27" s="6">
        <f>COUNTIF(Dirigeants!E5:E64,A27)</f>
        <v/>
      </c>
    </row>
    <row r="28">
      <c r="A28" s="6" t="inlineStr">
        <is>
          <t>Éducation et formation</t>
        </is>
      </c>
      <c r="B28" s="6">
        <f>COUNTIF(Dirigeants!E5:E64,A28)</f>
        <v/>
      </c>
    </row>
    <row r="29">
      <c r="A29" s="6" t="inlineStr">
        <is>
          <t>Autre secteur</t>
        </is>
      </c>
      <c r="B29" s="6">
        <f>COUNTIF(Dirigeants!E5:E64,A29)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22" customWidth="1" min="4" max="4"/>
    <col width="24" customWidth="1" min="5" max="5"/>
    <col width="26" customWidth="1" min="6" max="6"/>
    <col width="13" customWidth="1" min="7" max="7"/>
    <col width="20" customWidth="1" min="8" max="8"/>
    <col width="30" customWidth="1" min="9" max="9"/>
    <col width="9" customWidth="1" min="10" max="10"/>
    <col width="34" customWidth="1" min="11" max="11"/>
    <col width="70" customWidth="1" min="12" max="12"/>
    <col width="48" customWidth="1" min="13" max="13"/>
    <col width="14" customWidth="1" min="14" max="14"/>
    <col width="12" customWidth="1" min="15" max="15"/>
    <col width="12" customWidth="1" min="16" max="16"/>
    <col width="24" customWidth="1" min="17" max="17"/>
  </cols>
  <sheetData>
    <row r="1">
      <c r="A1" s="1" t="inlineStr">
        <is>
          <t>Crédit d'équipement · 60 dirigeants de PME</t>
        </is>
      </c>
    </row>
    <row r="2">
      <c r="A2" s="2" t="inlineStr">
        <is>
          <t>Remplir les colonnes B à J : l'objet, l'e-mail et la relance s'écrivent seuls. Relire chaque e-mail avant envoi.</t>
        </is>
      </c>
    </row>
    <row r="4" ht="32" customHeight="1">
      <c r="A4" s="3" t="inlineStr">
        <is>
          <t>N°</t>
        </is>
      </c>
      <c r="B4" s="3" t="inlineStr">
        <is>
          <t>Prénom</t>
        </is>
      </c>
      <c r="C4" s="3" t="inlineStr">
        <is>
          <t>Nom</t>
        </is>
      </c>
      <c r="D4" s="3" t="inlineStr">
        <is>
          <t>Entreprise</t>
        </is>
      </c>
      <c r="E4" s="3" t="inlineStr">
        <is>
          <t>Secteur</t>
        </is>
      </c>
      <c r="F4" s="3" t="inlineStr">
        <is>
          <t>E-mail du dirigeant</t>
        </is>
      </c>
      <c r="G4" s="3" t="inlineStr">
        <is>
          <t>Ville</t>
        </is>
      </c>
      <c r="H4" s="3" t="inlineStr">
        <is>
          <t>Relation avec la banque</t>
        </is>
      </c>
      <c r="I4" s="3" t="inlineStr">
        <is>
          <t>Phrase personnelle (facultatif)</t>
        </is>
      </c>
      <c r="J4" s="3" t="inlineStr">
        <is>
          <t>Objet (variante)</t>
        </is>
      </c>
      <c r="K4" s="3" t="inlineStr">
        <is>
          <t>Objet de l'e-mail</t>
        </is>
      </c>
      <c r="L4" s="3" t="inlineStr">
        <is>
          <t>E-mail personnalisé</t>
        </is>
      </c>
      <c r="M4" s="3" t="inlineStr">
        <is>
          <t>Relance à J+7</t>
        </is>
      </c>
      <c r="N4" s="3" t="inlineStr">
        <is>
          <t>Statut</t>
        </is>
      </c>
      <c r="O4" s="3" t="inlineStr">
        <is>
          <t>Date d'envoi</t>
        </is>
      </c>
      <c r="P4" s="3" t="inlineStr">
        <is>
          <t>Date de relance</t>
        </is>
      </c>
      <c r="Q4" s="3" t="inlineStr">
        <is>
          <t>Réponse / suite</t>
        </is>
      </c>
    </row>
    <row r="5">
      <c r="A5" s="7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inlineStr">
        <is>
          <t>A</t>
        </is>
      </c>
      <c r="K5" s="7">
        <f>IF(OR(B5="",D5=""),"",IF(J5="B",B5&amp;", un financement pour "&amp;IFERROR(VLOOKUP(E5,Secteurs!$A$5:$C$16,2,FALSE),"vos projets"),D5&amp;" : un financement pour vos prochains équipements"))</f>
        <v/>
      </c>
      <c r="L5" s="7">
        <f>IF(OR(B5="",D5=""),"","Bonjour "&amp;B5&amp;","&amp;CHAR(10)&amp;CHAR(10)&amp;"Je suis "&amp;'Paramètres'!$B$5&amp;", à la "&amp;'Paramètres'!$B$6&amp;" de "&amp;'Paramètres'!$B$7&amp;"."&amp;IF(I5=""," "," "&amp;I5&amp;" ")&amp;CHAR(10)&amp;CHAR(10)&amp;IFERROR(VLOOKUP(E5,Secteurs!$A$5:$C$16,3,FALSE),Secteurs!$C$16)&amp;CHAR(10)&amp;CHAR(10)&amp;SUBSTITUTE('Paramètres'!$B$12,"{E}",D5)&amp;CHAR(10)&amp;CHAR(10)&amp;'Paramètres'!$B$13&amp;CHAR(10)&amp;CHAR(10)&amp;"Bien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" s="7">
        <f>IF(OR(B5="",D5=""),"","Bonjour "&amp;B5&amp;","&amp;CHAR(10)&amp;CHAR(10)&amp;SUBSTITUTE('Paramètres'!$B$15,"{E}",D5)&amp;CHAR(10)&amp;CHAR(10)&amp;"Bien cordialement,"&amp;CHAR(10)&amp;'Paramètres'!$B$5)</f>
        <v/>
      </c>
      <c r="N5" s="7" t="inlineStr">
        <is>
          <t>À compléter</t>
        </is>
      </c>
      <c r="O5" s="8" t="n"/>
      <c r="P5" s="8">
        <f>IF(O5="","",O5+7)</f>
        <v/>
      </c>
      <c r="Q5" s="7" t="n"/>
    </row>
    <row r="6">
      <c r="A6" s="9" t="n">
        <v>2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inlineStr">
        <is>
          <t>A</t>
        </is>
      </c>
      <c r="K6" s="9">
        <f>IF(OR(B6="",D6=""),"",IF(J6="B",B6&amp;", un financement pour "&amp;IFERROR(VLOOKUP(E6,Secteurs!$A$5:$C$16,2,FALSE),"vos projets"),D6&amp;" : un financement pour vos prochains équipements"))</f>
        <v/>
      </c>
      <c r="L6" s="9">
        <f>IF(OR(B6="",D6=""),"","Bonjour "&amp;B6&amp;","&amp;CHAR(10)&amp;CHAR(10)&amp;"Je suis "&amp;'Paramètres'!$B$5&amp;", à la "&amp;'Paramètres'!$B$6&amp;" de "&amp;'Paramètres'!$B$7&amp;"."&amp;IF(I6=""," "," "&amp;I6&amp;" ")&amp;CHAR(10)&amp;CHAR(10)&amp;IFERROR(VLOOKUP(E6,Secteurs!$A$5:$C$16,3,FALSE),Secteurs!$C$16)&amp;CHAR(10)&amp;CHAR(10)&amp;SUBSTITUTE('Paramètres'!$B$12,"{E}",D6)&amp;CHAR(10)&amp;CHAR(10)&amp;'Paramètres'!$B$13&amp;CHAR(10)&amp;CHAR(10)&amp;"Bien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" s="9">
        <f>IF(OR(B6="",D6=""),"","Bonjour "&amp;B6&amp;","&amp;CHAR(10)&amp;CHAR(10)&amp;SUBSTITUTE('Paramètres'!$B$15,"{E}",D6)&amp;CHAR(10)&amp;CHAR(10)&amp;"Bien cordialement,"&amp;CHAR(10)&amp;'Paramètres'!$B$5)</f>
        <v/>
      </c>
      <c r="N6" s="9" t="inlineStr">
        <is>
          <t>À compléter</t>
        </is>
      </c>
      <c r="O6" s="10" t="n"/>
      <c r="P6" s="10">
        <f>IF(O6="","",O6+7)</f>
        <v/>
      </c>
      <c r="Q6" s="9" t="n"/>
    </row>
    <row r="7">
      <c r="A7" s="7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inlineStr">
        <is>
          <t>A</t>
        </is>
      </c>
      <c r="K7" s="7">
        <f>IF(OR(B7="",D7=""),"",IF(J7="B",B7&amp;", un financement pour "&amp;IFERROR(VLOOKUP(E7,Secteurs!$A$5:$C$16,2,FALSE),"vos projets"),D7&amp;" : un financement pour vos prochains équipements"))</f>
        <v/>
      </c>
      <c r="L7" s="7">
        <f>IF(OR(B7="",D7=""),"","Bonjour "&amp;B7&amp;","&amp;CHAR(10)&amp;CHAR(10)&amp;"Je suis "&amp;'Paramètres'!$B$5&amp;", à la "&amp;'Paramètres'!$B$6&amp;" de "&amp;'Paramètres'!$B$7&amp;"."&amp;IF(I7=""," "," "&amp;I7&amp;" ")&amp;CHAR(10)&amp;CHAR(10)&amp;IFERROR(VLOOKUP(E7,Secteurs!$A$5:$C$16,3,FALSE),Secteurs!$C$16)&amp;CHAR(10)&amp;CHAR(10)&amp;SUBSTITUTE('Paramètres'!$B$12,"{E}",D7)&amp;CHAR(10)&amp;CHAR(10)&amp;'Paramètres'!$B$13&amp;CHAR(10)&amp;CHAR(10)&amp;"Bien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7" s="7">
        <f>IF(OR(B7="",D7=""),"","Bonjour "&amp;B7&amp;","&amp;CHAR(10)&amp;CHAR(10)&amp;SUBSTITUTE('Paramètres'!$B$15,"{E}",D7)&amp;CHAR(10)&amp;CHAR(10)&amp;"Bien cordialement,"&amp;CHAR(10)&amp;'Paramètres'!$B$5)</f>
        <v/>
      </c>
      <c r="N7" s="7" t="inlineStr">
        <is>
          <t>À compléter</t>
        </is>
      </c>
      <c r="O7" s="8" t="n"/>
      <c r="P7" s="8">
        <f>IF(O7="","",O7+7)</f>
        <v/>
      </c>
      <c r="Q7" s="7" t="n"/>
    </row>
    <row r="8">
      <c r="A8" s="9" t="n">
        <v>4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inlineStr">
        <is>
          <t>A</t>
        </is>
      </c>
      <c r="K8" s="9">
        <f>IF(OR(B8="",D8=""),"",IF(J8="B",B8&amp;", un financement pour "&amp;IFERROR(VLOOKUP(E8,Secteurs!$A$5:$C$16,2,FALSE),"vos projets"),D8&amp;" : un financement pour vos prochains équipements"))</f>
        <v/>
      </c>
      <c r="L8" s="9">
        <f>IF(OR(B8="",D8=""),"","Bonjour "&amp;B8&amp;","&amp;CHAR(10)&amp;CHAR(10)&amp;"Je suis "&amp;'Paramètres'!$B$5&amp;", à la "&amp;'Paramètres'!$B$6&amp;" de "&amp;'Paramètres'!$B$7&amp;"."&amp;IF(I8=""," "," "&amp;I8&amp;" ")&amp;CHAR(10)&amp;CHAR(10)&amp;IFERROR(VLOOKUP(E8,Secteurs!$A$5:$C$16,3,FALSE),Secteurs!$C$16)&amp;CHAR(10)&amp;CHAR(10)&amp;SUBSTITUTE('Paramètres'!$B$12,"{E}",D8)&amp;CHAR(10)&amp;CHAR(10)&amp;'Paramètres'!$B$13&amp;CHAR(10)&amp;CHAR(10)&amp;"Bien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8" s="9">
        <f>IF(OR(B8="",D8=""),"","Bonjour "&amp;B8&amp;","&amp;CHAR(10)&amp;CHAR(10)&amp;SUBSTITUTE('Paramètres'!$B$15,"{E}",D8)&amp;CHAR(10)&amp;CHAR(10)&amp;"Bien cordialement,"&amp;CHAR(10)&amp;'Paramètres'!$B$5)</f>
        <v/>
      </c>
      <c r="N8" s="9" t="inlineStr">
        <is>
          <t>À compléter</t>
        </is>
      </c>
      <c r="O8" s="10" t="n"/>
      <c r="P8" s="10">
        <f>IF(O8="","",O8+7)</f>
        <v/>
      </c>
      <c r="Q8" s="9" t="n"/>
    </row>
    <row r="9">
      <c r="A9" s="7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inlineStr">
        <is>
          <t>A</t>
        </is>
      </c>
      <c r="K9" s="7">
        <f>IF(OR(B9="",D9=""),"",IF(J9="B",B9&amp;", un financement pour "&amp;IFERROR(VLOOKUP(E9,Secteurs!$A$5:$C$16,2,FALSE),"vos projets"),D9&amp;" : un financement pour vos prochains équipements"))</f>
        <v/>
      </c>
      <c r="L9" s="7">
        <f>IF(OR(B9="",D9=""),"","Bonjour "&amp;B9&amp;","&amp;CHAR(10)&amp;CHAR(10)&amp;"Je suis "&amp;'Paramètres'!$B$5&amp;", à la "&amp;'Paramètres'!$B$6&amp;" de "&amp;'Paramètres'!$B$7&amp;"."&amp;IF(I9=""," "," "&amp;I9&amp;" ")&amp;CHAR(10)&amp;CHAR(10)&amp;IFERROR(VLOOKUP(E9,Secteurs!$A$5:$C$16,3,FALSE),Secteurs!$C$16)&amp;CHAR(10)&amp;CHAR(10)&amp;SUBSTITUTE('Paramètres'!$B$12,"{E}",D9)&amp;CHAR(10)&amp;CHAR(10)&amp;'Paramètres'!$B$13&amp;CHAR(10)&amp;CHAR(10)&amp;"Bien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9" s="7">
        <f>IF(OR(B9="",D9=""),"","Bonjour "&amp;B9&amp;","&amp;CHAR(10)&amp;CHAR(10)&amp;SUBSTITUTE('Paramètres'!$B$15,"{E}",D9)&amp;CHAR(10)&amp;CHAR(10)&amp;"Bien cordialement,"&amp;CHAR(10)&amp;'Paramètres'!$B$5)</f>
        <v/>
      </c>
      <c r="N9" s="7" t="inlineStr">
        <is>
          <t>À compléter</t>
        </is>
      </c>
      <c r="O9" s="8" t="n"/>
      <c r="P9" s="8">
        <f>IF(O9="","",O9+7)</f>
        <v/>
      </c>
      <c r="Q9" s="7" t="n"/>
    </row>
    <row r="10">
      <c r="A10" s="9" t="n">
        <v>6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inlineStr">
        <is>
          <t>A</t>
        </is>
      </c>
      <c r="K10" s="9">
        <f>IF(OR(B10="",D10=""),"",IF(J10="B",B10&amp;", un financement pour "&amp;IFERROR(VLOOKUP(E10,Secteurs!$A$5:$C$16,2,FALSE),"vos projets"),D10&amp;" : un financement pour vos prochains équipements"))</f>
        <v/>
      </c>
      <c r="L10" s="9">
        <f>IF(OR(B10="",D10=""),"","Bonjour "&amp;B10&amp;","&amp;CHAR(10)&amp;CHAR(10)&amp;"Je suis "&amp;'Paramètres'!$B$5&amp;", à la "&amp;'Paramètres'!$B$6&amp;" de "&amp;'Paramètres'!$B$7&amp;"."&amp;IF(I10=""," "," "&amp;I10&amp;" ")&amp;CHAR(10)&amp;CHAR(10)&amp;IFERROR(VLOOKUP(E10,Secteurs!$A$5:$C$16,3,FALSE),Secteurs!$C$16)&amp;CHAR(10)&amp;CHAR(10)&amp;SUBSTITUTE('Paramètres'!$B$12,"{E}",D10)&amp;CHAR(10)&amp;CHAR(10)&amp;'Paramètres'!$B$13&amp;CHAR(10)&amp;CHAR(10)&amp;"Bien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0" s="9">
        <f>IF(OR(B10="",D10=""),"","Bonjour "&amp;B10&amp;","&amp;CHAR(10)&amp;CHAR(10)&amp;SUBSTITUTE('Paramètres'!$B$15,"{E}",D10)&amp;CHAR(10)&amp;CHAR(10)&amp;"Bien cordialement,"&amp;CHAR(10)&amp;'Paramètres'!$B$5)</f>
        <v/>
      </c>
      <c r="N10" s="9" t="inlineStr">
        <is>
          <t>À compléter</t>
        </is>
      </c>
      <c r="O10" s="10" t="n"/>
      <c r="P10" s="10">
        <f>IF(O10="","",O10+7)</f>
        <v/>
      </c>
      <c r="Q10" s="9" t="n"/>
    </row>
    <row r="11">
      <c r="A11" s="7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inlineStr">
        <is>
          <t>A</t>
        </is>
      </c>
      <c r="K11" s="7">
        <f>IF(OR(B11="",D11=""),"",IF(J11="B",B11&amp;", un financement pour "&amp;IFERROR(VLOOKUP(E11,Secteurs!$A$5:$C$16,2,FALSE),"vos projets"),D11&amp;" : un financement pour vos prochains équipements"))</f>
        <v/>
      </c>
      <c r="L11" s="7">
        <f>IF(OR(B11="",D11=""),"","Bonjour "&amp;B11&amp;","&amp;CHAR(10)&amp;CHAR(10)&amp;"Je suis "&amp;'Paramètres'!$B$5&amp;", à la "&amp;'Paramètres'!$B$6&amp;" de "&amp;'Paramètres'!$B$7&amp;"."&amp;IF(I11=""," "," "&amp;I11&amp;" ")&amp;CHAR(10)&amp;CHAR(10)&amp;IFERROR(VLOOKUP(E11,Secteurs!$A$5:$C$16,3,FALSE),Secteurs!$C$16)&amp;CHAR(10)&amp;CHAR(10)&amp;SUBSTITUTE('Paramètres'!$B$12,"{E}",D11)&amp;CHAR(10)&amp;CHAR(10)&amp;'Paramètres'!$B$13&amp;CHAR(10)&amp;CHAR(10)&amp;"Bien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1" s="7">
        <f>IF(OR(B11="",D11=""),"","Bonjour "&amp;B11&amp;","&amp;CHAR(10)&amp;CHAR(10)&amp;SUBSTITUTE('Paramètres'!$B$15,"{E}",D11)&amp;CHAR(10)&amp;CHAR(10)&amp;"Bien cordialement,"&amp;CHAR(10)&amp;'Paramètres'!$B$5)</f>
        <v/>
      </c>
      <c r="N11" s="7" t="inlineStr">
        <is>
          <t>À compléter</t>
        </is>
      </c>
      <c r="O11" s="8" t="n"/>
      <c r="P11" s="8">
        <f>IF(O11="","",O11+7)</f>
        <v/>
      </c>
      <c r="Q11" s="7" t="n"/>
    </row>
    <row r="12">
      <c r="A12" s="9" t="n">
        <v>8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inlineStr">
        <is>
          <t>A</t>
        </is>
      </c>
      <c r="K12" s="9">
        <f>IF(OR(B12="",D12=""),"",IF(J12="B",B12&amp;", un financement pour "&amp;IFERROR(VLOOKUP(E12,Secteurs!$A$5:$C$16,2,FALSE),"vos projets"),D12&amp;" : un financement pour vos prochains équipements"))</f>
        <v/>
      </c>
      <c r="L12" s="9">
        <f>IF(OR(B12="",D12=""),"","Bonjour "&amp;B12&amp;","&amp;CHAR(10)&amp;CHAR(10)&amp;"Je suis "&amp;'Paramètres'!$B$5&amp;", à la "&amp;'Paramètres'!$B$6&amp;" de "&amp;'Paramètres'!$B$7&amp;"."&amp;IF(I12=""," "," "&amp;I12&amp;" ")&amp;CHAR(10)&amp;CHAR(10)&amp;IFERROR(VLOOKUP(E12,Secteurs!$A$5:$C$16,3,FALSE),Secteurs!$C$16)&amp;CHAR(10)&amp;CHAR(10)&amp;SUBSTITUTE('Paramètres'!$B$12,"{E}",D12)&amp;CHAR(10)&amp;CHAR(10)&amp;'Paramètres'!$B$13&amp;CHAR(10)&amp;CHAR(10)&amp;"Bien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2" s="9">
        <f>IF(OR(B12="",D12=""),"","Bonjour "&amp;B12&amp;","&amp;CHAR(10)&amp;CHAR(10)&amp;SUBSTITUTE('Paramètres'!$B$15,"{E}",D12)&amp;CHAR(10)&amp;CHAR(10)&amp;"Bien cordialement,"&amp;CHAR(10)&amp;'Paramètres'!$B$5)</f>
        <v/>
      </c>
      <c r="N12" s="9" t="inlineStr">
        <is>
          <t>À compléter</t>
        </is>
      </c>
      <c r="O12" s="10" t="n"/>
      <c r="P12" s="10">
        <f>IF(O12="","",O12+7)</f>
        <v/>
      </c>
      <c r="Q12" s="9" t="n"/>
    </row>
    <row r="13">
      <c r="A13" s="7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inlineStr">
        <is>
          <t>A</t>
        </is>
      </c>
      <c r="K13" s="7">
        <f>IF(OR(B13="",D13=""),"",IF(J13="B",B13&amp;", un financement pour "&amp;IFERROR(VLOOKUP(E13,Secteurs!$A$5:$C$16,2,FALSE),"vos projets"),D13&amp;" : un financement pour vos prochains équipements"))</f>
        <v/>
      </c>
      <c r="L13" s="7">
        <f>IF(OR(B13="",D13=""),"","Bonjour "&amp;B13&amp;","&amp;CHAR(10)&amp;CHAR(10)&amp;"Je suis "&amp;'Paramètres'!$B$5&amp;", à la "&amp;'Paramètres'!$B$6&amp;" de "&amp;'Paramètres'!$B$7&amp;"."&amp;IF(I13=""," "," "&amp;I13&amp;" ")&amp;CHAR(10)&amp;CHAR(10)&amp;IFERROR(VLOOKUP(E13,Secteurs!$A$5:$C$16,3,FALSE),Secteurs!$C$16)&amp;CHAR(10)&amp;CHAR(10)&amp;SUBSTITUTE('Paramètres'!$B$12,"{E}",D13)&amp;CHAR(10)&amp;CHAR(10)&amp;'Paramètres'!$B$13&amp;CHAR(10)&amp;CHAR(10)&amp;"Bien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3" s="7">
        <f>IF(OR(B13="",D13=""),"","Bonjour "&amp;B13&amp;","&amp;CHAR(10)&amp;CHAR(10)&amp;SUBSTITUTE('Paramètres'!$B$15,"{E}",D13)&amp;CHAR(10)&amp;CHAR(10)&amp;"Bien cordialement,"&amp;CHAR(10)&amp;'Paramètres'!$B$5)</f>
        <v/>
      </c>
      <c r="N13" s="7" t="inlineStr">
        <is>
          <t>À compléter</t>
        </is>
      </c>
      <c r="O13" s="8" t="n"/>
      <c r="P13" s="8">
        <f>IF(O13="","",O13+7)</f>
        <v/>
      </c>
      <c r="Q13" s="7" t="n"/>
    </row>
    <row r="14">
      <c r="A14" s="9" t="n">
        <v>10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inlineStr">
        <is>
          <t>A</t>
        </is>
      </c>
      <c r="K14" s="9">
        <f>IF(OR(B14="",D14=""),"",IF(J14="B",B14&amp;", un financement pour "&amp;IFERROR(VLOOKUP(E14,Secteurs!$A$5:$C$16,2,FALSE),"vos projets"),D14&amp;" : un financement pour vos prochains équipements"))</f>
        <v/>
      </c>
      <c r="L14" s="9">
        <f>IF(OR(B14="",D14=""),"","Bonjour "&amp;B14&amp;","&amp;CHAR(10)&amp;CHAR(10)&amp;"Je suis "&amp;'Paramètres'!$B$5&amp;", à la "&amp;'Paramètres'!$B$6&amp;" de "&amp;'Paramètres'!$B$7&amp;"."&amp;IF(I14=""," "," "&amp;I14&amp;" ")&amp;CHAR(10)&amp;CHAR(10)&amp;IFERROR(VLOOKUP(E14,Secteurs!$A$5:$C$16,3,FALSE),Secteurs!$C$16)&amp;CHAR(10)&amp;CHAR(10)&amp;SUBSTITUTE('Paramètres'!$B$12,"{E}",D14)&amp;CHAR(10)&amp;CHAR(10)&amp;'Paramètres'!$B$13&amp;CHAR(10)&amp;CHAR(10)&amp;"Bien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4" s="9">
        <f>IF(OR(B14="",D14=""),"","Bonjour "&amp;B14&amp;","&amp;CHAR(10)&amp;CHAR(10)&amp;SUBSTITUTE('Paramètres'!$B$15,"{E}",D14)&amp;CHAR(10)&amp;CHAR(10)&amp;"Bien cordialement,"&amp;CHAR(10)&amp;'Paramètres'!$B$5)</f>
        <v/>
      </c>
      <c r="N14" s="9" t="inlineStr">
        <is>
          <t>À compléter</t>
        </is>
      </c>
      <c r="O14" s="10" t="n"/>
      <c r="P14" s="10">
        <f>IF(O14="","",O14+7)</f>
        <v/>
      </c>
      <c r="Q14" s="9" t="n"/>
    </row>
    <row r="15">
      <c r="A15" s="7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inlineStr">
        <is>
          <t>A</t>
        </is>
      </c>
      <c r="K15" s="7">
        <f>IF(OR(B15="",D15=""),"",IF(J15="B",B15&amp;", un financement pour "&amp;IFERROR(VLOOKUP(E15,Secteurs!$A$5:$C$16,2,FALSE),"vos projets"),D15&amp;" : un financement pour vos prochains équipements"))</f>
        <v/>
      </c>
      <c r="L15" s="7">
        <f>IF(OR(B15="",D15=""),"","Bonjour "&amp;B15&amp;","&amp;CHAR(10)&amp;CHAR(10)&amp;"Je suis "&amp;'Paramètres'!$B$5&amp;", à la "&amp;'Paramètres'!$B$6&amp;" de "&amp;'Paramètres'!$B$7&amp;"."&amp;IF(I15=""," "," "&amp;I15&amp;" ")&amp;CHAR(10)&amp;CHAR(10)&amp;IFERROR(VLOOKUP(E15,Secteurs!$A$5:$C$16,3,FALSE),Secteurs!$C$16)&amp;CHAR(10)&amp;CHAR(10)&amp;SUBSTITUTE('Paramètres'!$B$12,"{E}",D15)&amp;CHAR(10)&amp;CHAR(10)&amp;'Paramètres'!$B$13&amp;CHAR(10)&amp;CHAR(10)&amp;"Bien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5" s="7">
        <f>IF(OR(B15="",D15=""),"","Bonjour "&amp;B15&amp;","&amp;CHAR(10)&amp;CHAR(10)&amp;SUBSTITUTE('Paramètres'!$B$15,"{E}",D15)&amp;CHAR(10)&amp;CHAR(10)&amp;"Bien cordialement,"&amp;CHAR(10)&amp;'Paramètres'!$B$5)</f>
        <v/>
      </c>
      <c r="N15" s="7" t="inlineStr">
        <is>
          <t>À compléter</t>
        </is>
      </c>
      <c r="O15" s="8" t="n"/>
      <c r="P15" s="8">
        <f>IF(O15="","",O15+7)</f>
        <v/>
      </c>
      <c r="Q15" s="7" t="n"/>
    </row>
    <row r="16">
      <c r="A16" s="9" t="n">
        <v>12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inlineStr">
        <is>
          <t>A</t>
        </is>
      </c>
      <c r="K16" s="9">
        <f>IF(OR(B16="",D16=""),"",IF(J16="B",B16&amp;", un financement pour "&amp;IFERROR(VLOOKUP(E16,Secteurs!$A$5:$C$16,2,FALSE),"vos projets"),D16&amp;" : un financement pour vos prochains équipements"))</f>
        <v/>
      </c>
      <c r="L16" s="9">
        <f>IF(OR(B16="",D16=""),"","Bonjour "&amp;B16&amp;","&amp;CHAR(10)&amp;CHAR(10)&amp;"Je suis "&amp;'Paramètres'!$B$5&amp;", à la "&amp;'Paramètres'!$B$6&amp;" de "&amp;'Paramètres'!$B$7&amp;"."&amp;IF(I16=""," "," "&amp;I16&amp;" ")&amp;CHAR(10)&amp;CHAR(10)&amp;IFERROR(VLOOKUP(E16,Secteurs!$A$5:$C$16,3,FALSE),Secteurs!$C$16)&amp;CHAR(10)&amp;CHAR(10)&amp;SUBSTITUTE('Paramètres'!$B$12,"{E}",D16)&amp;CHAR(10)&amp;CHAR(10)&amp;'Paramètres'!$B$13&amp;CHAR(10)&amp;CHAR(10)&amp;"Bien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6" s="9">
        <f>IF(OR(B16="",D16=""),"","Bonjour "&amp;B16&amp;","&amp;CHAR(10)&amp;CHAR(10)&amp;SUBSTITUTE('Paramètres'!$B$15,"{E}",D16)&amp;CHAR(10)&amp;CHAR(10)&amp;"Bien cordialement,"&amp;CHAR(10)&amp;'Paramètres'!$B$5)</f>
        <v/>
      </c>
      <c r="N16" s="9" t="inlineStr">
        <is>
          <t>À compléter</t>
        </is>
      </c>
      <c r="O16" s="10" t="n"/>
      <c r="P16" s="10">
        <f>IF(O16="","",O16+7)</f>
        <v/>
      </c>
      <c r="Q16" s="9" t="n"/>
    </row>
    <row r="17">
      <c r="A17" s="7" t="n">
        <v>13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inlineStr">
        <is>
          <t>A</t>
        </is>
      </c>
      <c r="K17" s="7">
        <f>IF(OR(B17="",D17=""),"",IF(J17="B",B17&amp;", un financement pour "&amp;IFERROR(VLOOKUP(E17,Secteurs!$A$5:$C$16,2,FALSE),"vos projets"),D17&amp;" : un financement pour vos prochains équipements"))</f>
        <v/>
      </c>
      <c r="L17" s="7">
        <f>IF(OR(B17="",D17=""),"","Bonjour "&amp;B17&amp;","&amp;CHAR(10)&amp;CHAR(10)&amp;"Je suis "&amp;'Paramètres'!$B$5&amp;", à la "&amp;'Paramètres'!$B$6&amp;" de "&amp;'Paramètres'!$B$7&amp;"."&amp;IF(I17=""," "," "&amp;I17&amp;" ")&amp;CHAR(10)&amp;CHAR(10)&amp;IFERROR(VLOOKUP(E17,Secteurs!$A$5:$C$16,3,FALSE),Secteurs!$C$16)&amp;CHAR(10)&amp;CHAR(10)&amp;SUBSTITUTE('Paramètres'!$B$12,"{E}",D17)&amp;CHAR(10)&amp;CHAR(10)&amp;'Paramètres'!$B$13&amp;CHAR(10)&amp;CHAR(10)&amp;"Bien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7" s="7">
        <f>IF(OR(B17="",D17=""),"","Bonjour "&amp;B17&amp;","&amp;CHAR(10)&amp;CHAR(10)&amp;SUBSTITUTE('Paramètres'!$B$15,"{E}",D17)&amp;CHAR(10)&amp;CHAR(10)&amp;"Bien cordialement,"&amp;CHAR(10)&amp;'Paramètres'!$B$5)</f>
        <v/>
      </c>
      <c r="N17" s="7" t="inlineStr">
        <is>
          <t>À compléter</t>
        </is>
      </c>
      <c r="O17" s="8" t="n"/>
      <c r="P17" s="8">
        <f>IF(O17="","",O17+7)</f>
        <v/>
      </c>
      <c r="Q17" s="7" t="n"/>
    </row>
    <row r="18">
      <c r="A18" s="9" t="n">
        <v>14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inlineStr">
        <is>
          <t>A</t>
        </is>
      </c>
      <c r="K18" s="9">
        <f>IF(OR(B18="",D18=""),"",IF(J18="B",B18&amp;", un financement pour "&amp;IFERROR(VLOOKUP(E18,Secteurs!$A$5:$C$16,2,FALSE),"vos projets"),D18&amp;" : un financement pour vos prochains équipements"))</f>
        <v/>
      </c>
      <c r="L18" s="9">
        <f>IF(OR(B18="",D18=""),"","Bonjour "&amp;B18&amp;","&amp;CHAR(10)&amp;CHAR(10)&amp;"Je suis "&amp;'Paramètres'!$B$5&amp;", à la "&amp;'Paramètres'!$B$6&amp;" de "&amp;'Paramètres'!$B$7&amp;"."&amp;IF(I18=""," "," "&amp;I18&amp;" ")&amp;CHAR(10)&amp;CHAR(10)&amp;IFERROR(VLOOKUP(E18,Secteurs!$A$5:$C$16,3,FALSE),Secteurs!$C$16)&amp;CHAR(10)&amp;CHAR(10)&amp;SUBSTITUTE('Paramètres'!$B$12,"{E}",D18)&amp;CHAR(10)&amp;CHAR(10)&amp;'Paramètres'!$B$13&amp;CHAR(10)&amp;CHAR(10)&amp;"Bien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8" s="9">
        <f>IF(OR(B18="",D18=""),"","Bonjour "&amp;B18&amp;","&amp;CHAR(10)&amp;CHAR(10)&amp;SUBSTITUTE('Paramètres'!$B$15,"{E}",D18)&amp;CHAR(10)&amp;CHAR(10)&amp;"Bien cordialement,"&amp;CHAR(10)&amp;'Paramètres'!$B$5)</f>
        <v/>
      </c>
      <c r="N18" s="9" t="inlineStr">
        <is>
          <t>À compléter</t>
        </is>
      </c>
      <c r="O18" s="10" t="n"/>
      <c r="P18" s="10">
        <f>IF(O18="","",O18+7)</f>
        <v/>
      </c>
      <c r="Q18" s="9" t="n"/>
    </row>
    <row r="19">
      <c r="A19" s="7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inlineStr">
        <is>
          <t>A</t>
        </is>
      </c>
      <c r="K19" s="7">
        <f>IF(OR(B19="",D19=""),"",IF(J19="B",B19&amp;", un financement pour "&amp;IFERROR(VLOOKUP(E19,Secteurs!$A$5:$C$16,2,FALSE),"vos projets"),D19&amp;" : un financement pour vos prochains équipements"))</f>
        <v/>
      </c>
      <c r="L19" s="7">
        <f>IF(OR(B19="",D19=""),"","Bonjour "&amp;B19&amp;","&amp;CHAR(10)&amp;CHAR(10)&amp;"Je suis "&amp;'Paramètres'!$B$5&amp;", à la "&amp;'Paramètres'!$B$6&amp;" de "&amp;'Paramètres'!$B$7&amp;"."&amp;IF(I19=""," "," "&amp;I19&amp;" ")&amp;CHAR(10)&amp;CHAR(10)&amp;IFERROR(VLOOKUP(E19,Secteurs!$A$5:$C$16,3,FALSE),Secteurs!$C$16)&amp;CHAR(10)&amp;CHAR(10)&amp;SUBSTITUTE('Paramètres'!$B$12,"{E}",D19)&amp;CHAR(10)&amp;CHAR(10)&amp;'Paramètres'!$B$13&amp;CHAR(10)&amp;CHAR(10)&amp;"Bien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19" s="7">
        <f>IF(OR(B19="",D19=""),"","Bonjour "&amp;B19&amp;","&amp;CHAR(10)&amp;CHAR(10)&amp;SUBSTITUTE('Paramètres'!$B$15,"{E}",D19)&amp;CHAR(10)&amp;CHAR(10)&amp;"Bien cordialement,"&amp;CHAR(10)&amp;'Paramètres'!$B$5)</f>
        <v/>
      </c>
      <c r="N19" s="7" t="inlineStr">
        <is>
          <t>À compléter</t>
        </is>
      </c>
      <c r="O19" s="8" t="n"/>
      <c r="P19" s="8">
        <f>IF(O19="","",O19+7)</f>
        <v/>
      </c>
      <c r="Q19" s="7" t="n"/>
    </row>
    <row r="20">
      <c r="A20" s="9" t="n">
        <v>16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inlineStr">
        <is>
          <t>A</t>
        </is>
      </c>
      <c r="K20" s="9">
        <f>IF(OR(B20="",D20=""),"",IF(J20="B",B20&amp;", un financement pour "&amp;IFERROR(VLOOKUP(E20,Secteurs!$A$5:$C$16,2,FALSE),"vos projets"),D20&amp;" : un financement pour vos prochains équipements"))</f>
        <v/>
      </c>
      <c r="L20" s="9">
        <f>IF(OR(B20="",D20=""),"","Bonjour "&amp;B20&amp;","&amp;CHAR(10)&amp;CHAR(10)&amp;"Je suis "&amp;'Paramètres'!$B$5&amp;", à la "&amp;'Paramètres'!$B$6&amp;" de "&amp;'Paramètres'!$B$7&amp;"."&amp;IF(I20=""," "," "&amp;I20&amp;" ")&amp;CHAR(10)&amp;CHAR(10)&amp;IFERROR(VLOOKUP(E20,Secteurs!$A$5:$C$16,3,FALSE),Secteurs!$C$16)&amp;CHAR(10)&amp;CHAR(10)&amp;SUBSTITUTE('Paramètres'!$B$12,"{E}",D20)&amp;CHAR(10)&amp;CHAR(10)&amp;'Paramètres'!$B$13&amp;CHAR(10)&amp;CHAR(10)&amp;"Bien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0" s="9">
        <f>IF(OR(B20="",D20=""),"","Bonjour "&amp;B20&amp;","&amp;CHAR(10)&amp;CHAR(10)&amp;SUBSTITUTE('Paramètres'!$B$15,"{E}",D20)&amp;CHAR(10)&amp;CHAR(10)&amp;"Bien cordialement,"&amp;CHAR(10)&amp;'Paramètres'!$B$5)</f>
        <v/>
      </c>
      <c r="N20" s="9" t="inlineStr">
        <is>
          <t>À compléter</t>
        </is>
      </c>
      <c r="O20" s="10" t="n"/>
      <c r="P20" s="10">
        <f>IF(O20="","",O20+7)</f>
        <v/>
      </c>
      <c r="Q20" s="9" t="n"/>
    </row>
    <row r="21">
      <c r="A21" s="7" t="n">
        <v>17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inlineStr">
        <is>
          <t>A</t>
        </is>
      </c>
      <c r="K21" s="7">
        <f>IF(OR(B21="",D21=""),"",IF(J21="B",B21&amp;", un financement pour "&amp;IFERROR(VLOOKUP(E21,Secteurs!$A$5:$C$16,2,FALSE),"vos projets"),D21&amp;" : un financement pour vos prochains équipements"))</f>
        <v/>
      </c>
      <c r="L21" s="7">
        <f>IF(OR(B21="",D21=""),"","Bonjour "&amp;B21&amp;","&amp;CHAR(10)&amp;CHAR(10)&amp;"Je suis "&amp;'Paramètres'!$B$5&amp;", à la "&amp;'Paramètres'!$B$6&amp;" de "&amp;'Paramètres'!$B$7&amp;"."&amp;IF(I21=""," "," "&amp;I21&amp;" ")&amp;CHAR(10)&amp;CHAR(10)&amp;IFERROR(VLOOKUP(E21,Secteurs!$A$5:$C$16,3,FALSE),Secteurs!$C$16)&amp;CHAR(10)&amp;CHAR(10)&amp;SUBSTITUTE('Paramètres'!$B$12,"{E}",D21)&amp;CHAR(10)&amp;CHAR(10)&amp;'Paramètres'!$B$13&amp;CHAR(10)&amp;CHAR(10)&amp;"Bien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1" s="7">
        <f>IF(OR(B21="",D21=""),"","Bonjour "&amp;B21&amp;","&amp;CHAR(10)&amp;CHAR(10)&amp;SUBSTITUTE('Paramètres'!$B$15,"{E}",D21)&amp;CHAR(10)&amp;CHAR(10)&amp;"Bien cordialement,"&amp;CHAR(10)&amp;'Paramètres'!$B$5)</f>
        <v/>
      </c>
      <c r="N21" s="7" t="inlineStr">
        <is>
          <t>À compléter</t>
        </is>
      </c>
      <c r="O21" s="8" t="n"/>
      <c r="P21" s="8">
        <f>IF(O21="","",O21+7)</f>
        <v/>
      </c>
      <c r="Q21" s="7" t="n"/>
    </row>
    <row r="22">
      <c r="A22" s="9" t="n">
        <v>18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inlineStr">
        <is>
          <t>A</t>
        </is>
      </c>
      <c r="K22" s="9">
        <f>IF(OR(B22="",D22=""),"",IF(J22="B",B22&amp;", un financement pour "&amp;IFERROR(VLOOKUP(E22,Secteurs!$A$5:$C$16,2,FALSE),"vos projets"),D22&amp;" : un financement pour vos prochains équipements"))</f>
        <v/>
      </c>
      <c r="L22" s="9">
        <f>IF(OR(B22="",D22=""),"","Bonjour "&amp;B22&amp;","&amp;CHAR(10)&amp;CHAR(10)&amp;"Je suis "&amp;'Paramètres'!$B$5&amp;", à la "&amp;'Paramètres'!$B$6&amp;" de "&amp;'Paramètres'!$B$7&amp;"."&amp;IF(I22=""," "," "&amp;I22&amp;" ")&amp;CHAR(10)&amp;CHAR(10)&amp;IFERROR(VLOOKUP(E22,Secteurs!$A$5:$C$16,3,FALSE),Secteurs!$C$16)&amp;CHAR(10)&amp;CHAR(10)&amp;SUBSTITUTE('Paramètres'!$B$12,"{E}",D22)&amp;CHAR(10)&amp;CHAR(10)&amp;'Paramètres'!$B$13&amp;CHAR(10)&amp;CHAR(10)&amp;"Bien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2" s="9">
        <f>IF(OR(B22="",D22=""),"","Bonjour "&amp;B22&amp;","&amp;CHAR(10)&amp;CHAR(10)&amp;SUBSTITUTE('Paramètres'!$B$15,"{E}",D22)&amp;CHAR(10)&amp;CHAR(10)&amp;"Bien cordialement,"&amp;CHAR(10)&amp;'Paramètres'!$B$5)</f>
        <v/>
      </c>
      <c r="N22" s="9" t="inlineStr">
        <is>
          <t>À compléter</t>
        </is>
      </c>
      <c r="O22" s="10" t="n"/>
      <c r="P22" s="10">
        <f>IF(O22="","",O22+7)</f>
        <v/>
      </c>
      <c r="Q22" s="9" t="n"/>
    </row>
    <row r="23">
      <c r="A23" s="7" t="n">
        <v>19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inlineStr">
        <is>
          <t>A</t>
        </is>
      </c>
      <c r="K23" s="7">
        <f>IF(OR(B23="",D23=""),"",IF(J23="B",B23&amp;", un financement pour "&amp;IFERROR(VLOOKUP(E23,Secteurs!$A$5:$C$16,2,FALSE),"vos projets"),D23&amp;" : un financement pour vos prochains équipements"))</f>
        <v/>
      </c>
      <c r="L23" s="7">
        <f>IF(OR(B23="",D23=""),"","Bonjour "&amp;B23&amp;","&amp;CHAR(10)&amp;CHAR(10)&amp;"Je suis "&amp;'Paramètres'!$B$5&amp;", à la "&amp;'Paramètres'!$B$6&amp;" de "&amp;'Paramètres'!$B$7&amp;"."&amp;IF(I23=""," "," "&amp;I23&amp;" ")&amp;CHAR(10)&amp;CHAR(10)&amp;IFERROR(VLOOKUP(E23,Secteurs!$A$5:$C$16,3,FALSE),Secteurs!$C$16)&amp;CHAR(10)&amp;CHAR(10)&amp;SUBSTITUTE('Paramètres'!$B$12,"{E}",D23)&amp;CHAR(10)&amp;CHAR(10)&amp;'Paramètres'!$B$13&amp;CHAR(10)&amp;CHAR(10)&amp;"Bien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3" s="7">
        <f>IF(OR(B23="",D23=""),"","Bonjour "&amp;B23&amp;","&amp;CHAR(10)&amp;CHAR(10)&amp;SUBSTITUTE('Paramètres'!$B$15,"{E}",D23)&amp;CHAR(10)&amp;CHAR(10)&amp;"Bien cordialement,"&amp;CHAR(10)&amp;'Paramètres'!$B$5)</f>
        <v/>
      </c>
      <c r="N23" s="7" t="inlineStr">
        <is>
          <t>À compléter</t>
        </is>
      </c>
      <c r="O23" s="8" t="n"/>
      <c r="P23" s="8">
        <f>IF(O23="","",O23+7)</f>
        <v/>
      </c>
      <c r="Q23" s="7" t="n"/>
    </row>
    <row r="24">
      <c r="A24" s="9" t="n">
        <v>20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inlineStr">
        <is>
          <t>A</t>
        </is>
      </c>
      <c r="K24" s="9">
        <f>IF(OR(B24="",D24=""),"",IF(J24="B",B24&amp;", un financement pour "&amp;IFERROR(VLOOKUP(E24,Secteurs!$A$5:$C$16,2,FALSE),"vos projets"),D24&amp;" : un financement pour vos prochains équipements"))</f>
        <v/>
      </c>
      <c r="L24" s="9">
        <f>IF(OR(B24="",D24=""),"","Bonjour "&amp;B24&amp;","&amp;CHAR(10)&amp;CHAR(10)&amp;"Je suis "&amp;'Paramètres'!$B$5&amp;", à la "&amp;'Paramètres'!$B$6&amp;" de "&amp;'Paramètres'!$B$7&amp;"."&amp;IF(I24=""," "," "&amp;I24&amp;" ")&amp;CHAR(10)&amp;CHAR(10)&amp;IFERROR(VLOOKUP(E24,Secteurs!$A$5:$C$16,3,FALSE),Secteurs!$C$16)&amp;CHAR(10)&amp;CHAR(10)&amp;SUBSTITUTE('Paramètres'!$B$12,"{E}",D24)&amp;CHAR(10)&amp;CHAR(10)&amp;'Paramètres'!$B$13&amp;CHAR(10)&amp;CHAR(10)&amp;"Bien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4" s="9">
        <f>IF(OR(B24="",D24=""),"","Bonjour "&amp;B24&amp;","&amp;CHAR(10)&amp;CHAR(10)&amp;SUBSTITUTE('Paramètres'!$B$15,"{E}",D24)&amp;CHAR(10)&amp;CHAR(10)&amp;"Bien cordialement,"&amp;CHAR(10)&amp;'Paramètres'!$B$5)</f>
        <v/>
      </c>
      <c r="N24" s="9" t="inlineStr">
        <is>
          <t>À compléter</t>
        </is>
      </c>
      <c r="O24" s="10" t="n"/>
      <c r="P24" s="10">
        <f>IF(O24="","",O24+7)</f>
        <v/>
      </c>
      <c r="Q24" s="9" t="n"/>
    </row>
    <row r="25">
      <c r="A25" s="7" t="n">
        <v>21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A</t>
        </is>
      </c>
      <c r="K25" s="7">
        <f>IF(OR(B25="",D25=""),"",IF(J25="B",B25&amp;", un financement pour "&amp;IFERROR(VLOOKUP(E25,Secteurs!$A$5:$C$16,2,FALSE),"vos projets"),D25&amp;" : un financement pour vos prochains équipements"))</f>
        <v/>
      </c>
      <c r="L25" s="7">
        <f>IF(OR(B25="",D25=""),"","Bonjour "&amp;B25&amp;","&amp;CHAR(10)&amp;CHAR(10)&amp;"Je suis "&amp;'Paramètres'!$B$5&amp;", à la "&amp;'Paramètres'!$B$6&amp;" de "&amp;'Paramètres'!$B$7&amp;"."&amp;IF(I25=""," "," "&amp;I25&amp;" ")&amp;CHAR(10)&amp;CHAR(10)&amp;IFERROR(VLOOKUP(E25,Secteurs!$A$5:$C$16,3,FALSE),Secteurs!$C$16)&amp;CHAR(10)&amp;CHAR(10)&amp;SUBSTITUTE('Paramètres'!$B$12,"{E}",D25)&amp;CHAR(10)&amp;CHAR(10)&amp;'Paramètres'!$B$13&amp;CHAR(10)&amp;CHAR(10)&amp;"Bien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5" s="7">
        <f>IF(OR(B25="",D25=""),"","Bonjour "&amp;B25&amp;","&amp;CHAR(10)&amp;CHAR(10)&amp;SUBSTITUTE('Paramètres'!$B$15,"{E}",D25)&amp;CHAR(10)&amp;CHAR(10)&amp;"Bien cordialement,"&amp;CHAR(10)&amp;'Paramètres'!$B$5)</f>
        <v/>
      </c>
      <c r="N25" s="7" t="inlineStr">
        <is>
          <t>À compléter</t>
        </is>
      </c>
      <c r="O25" s="8" t="n"/>
      <c r="P25" s="8">
        <f>IF(O25="","",O25+7)</f>
        <v/>
      </c>
      <c r="Q25" s="7" t="n"/>
    </row>
    <row r="26">
      <c r="A26" s="9" t="n">
        <v>22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inlineStr">
        <is>
          <t>A</t>
        </is>
      </c>
      <c r="K26" s="9">
        <f>IF(OR(B26="",D26=""),"",IF(J26="B",B26&amp;", un financement pour "&amp;IFERROR(VLOOKUP(E26,Secteurs!$A$5:$C$16,2,FALSE),"vos projets"),D26&amp;" : un financement pour vos prochains équipements"))</f>
        <v/>
      </c>
      <c r="L26" s="9">
        <f>IF(OR(B26="",D26=""),"","Bonjour "&amp;B26&amp;","&amp;CHAR(10)&amp;CHAR(10)&amp;"Je suis "&amp;'Paramètres'!$B$5&amp;", à la "&amp;'Paramètres'!$B$6&amp;" de "&amp;'Paramètres'!$B$7&amp;"."&amp;IF(I26=""," "," "&amp;I26&amp;" ")&amp;CHAR(10)&amp;CHAR(10)&amp;IFERROR(VLOOKUP(E26,Secteurs!$A$5:$C$16,3,FALSE),Secteurs!$C$16)&amp;CHAR(10)&amp;CHAR(10)&amp;SUBSTITUTE('Paramètres'!$B$12,"{E}",D26)&amp;CHAR(10)&amp;CHAR(10)&amp;'Paramètres'!$B$13&amp;CHAR(10)&amp;CHAR(10)&amp;"Bien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6" s="9">
        <f>IF(OR(B26="",D26=""),"","Bonjour "&amp;B26&amp;","&amp;CHAR(10)&amp;CHAR(10)&amp;SUBSTITUTE('Paramètres'!$B$15,"{E}",D26)&amp;CHAR(10)&amp;CHAR(10)&amp;"Bien cordialement,"&amp;CHAR(10)&amp;'Paramètres'!$B$5)</f>
        <v/>
      </c>
      <c r="N26" s="9" t="inlineStr">
        <is>
          <t>À compléter</t>
        </is>
      </c>
      <c r="O26" s="10" t="n"/>
      <c r="P26" s="10">
        <f>IF(O26="","",O26+7)</f>
        <v/>
      </c>
      <c r="Q26" s="9" t="n"/>
    </row>
    <row r="27">
      <c r="A27" s="7" t="n">
        <v>23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inlineStr">
        <is>
          <t>A</t>
        </is>
      </c>
      <c r="K27" s="7">
        <f>IF(OR(B27="",D27=""),"",IF(J27="B",B27&amp;", un financement pour "&amp;IFERROR(VLOOKUP(E27,Secteurs!$A$5:$C$16,2,FALSE),"vos projets"),D27&amp;" : un financement pour vos prochains équipements"))</f>
        <v/>
      </c>
      <c r="L27" s="7">
        <f>IF(OR(B27="",D27=""),"","Bonjour "&amp;B27&amp;","&amp;CHAR(10)&amp;CHAR(10)&amp;"Je suis "&amp;'Paramètres'!$B$5&amp;", à la "&amp;'Paramètres'!$B$6&amp;" de "&amp;'Paramètres'!$B$7&amp;"."&amp;IF(I27=""," "," "&amp;I27&amp;" ")&amp;CHAR(10)&amp;CHAR(10)&amp;IFERROR(VLOOKUP(E27,Secteurs!$A$5:$C$16,3,FALSE),Secteurs!$C$16)&amp;CHAR(10)&amp;CHAR(10)&amp;SUBSTITUTE('Paramètres'!$B$12,"{E}",D27)&amp;CHAR(10)&amp;CHAR(10)&amp;'Paramètres'!$B$13&amp;CHAR(10)&amp;CHAR(10)&amp;"Bien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7" s="7">
        <f>IF(OR(B27="",D27=""),"","Bonjour "&amp;B27&amp;","&amp;CHAR(10)&amp;CHAR(10)&amp;SUBSTITUTE('Paramètres'!$B$15,"{E}",D27)&amp;CHAR(10)&amp;CHAR(10)&amp;"Bien cordialement,"&amp;CHAR(10)&amp;'Paramètres'!$B$5)</f>
        <v/>
      </c>
      <c r="N27" s="7" t="inlineStr">
        <is>
          <t>À compléter</t>
        </is>
      </c>
      <c r="O27" s="8" t="n"/>
      <c r="P27" s="8">
        <f>IF(O27="","",O27+7)</f>
        <v/>
      </c>
      <c r="Q27" s="7" t="n"/>
    </row>
    <row r="28">
      <c r="A28" s="9" t="n">
        <v>24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inlineStr">
        <is>
          <t>A</t>
        </is>
      </c>
      <c r="K28" s="9">
        <f>IF(OR(B28="",D28=""),"",IF(J28="B",B28&amp;", un financement pour "&amp;IFERROR(VLOOKUP(E28,Secteurs!$A$5:$C$16,2,FALSE),"vos projets"),D28&amp;" : un financement pour vos prochains équipements"))</f>
        <v/>
      </c>
      <c r="L28" s="9">
        <f>IF(OR(B28="",D28=""),"","Bonjour "&amp;B28&amp;","&amp;CHAR(10)&amp;CHAR(10)&amp;"Je suis "&amp;'Paramètres'!$B$5&amp;", à la "&amp;'Paramètres'!$B$6&amp;" de "&amp;'Paramètres'!$B$7&amp;"."&amp;IF(I28=""," "," "&amp;I28&amp;" ")&amp;CHAR(10)&amp;CHAR(10)&amp;IFERROR(VLOOKUP(E28,Secteurs!$A$5:$C$16,3,FALSE),Secteurs!$C$16)&amp;CHAR(10)&amp;CHAR(10)&amp;SUBSTITUTE('Paramètres'!$B$12,"{E}",D28)&amp;CHAR(10)&amp;CHAR(10)&amp;'Paramètres'!$B$13&amp;CHAR(10)&amp;CHAR(10)&amp;"Bien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8" s="9">
        <f>IF(OR(B28="",D28=""),"","Bonjour "&amp;B28&amp;","&amp;CHAR(10)&amp;CHAR(10)&amp;SUBSTITUTE('Paramètres'!$B$15,"{E}",D28)&amp;CHAR(10)&amp;CHAR(10)&amp;"Bien cordialement,"&amp;CHAR(10)&amp;'Paramètres'!$B$5)</f>
        <v/>
      </c>
      <c r="N28" s="9" t="inlineStr">
        <is>
          <t>À compléter</t>
        </is>
      </c>
      <c r="O28" s="10" t="n"/>
      <c r="P28" s="10">
        <f>IF(O28="","",O28+7)</f>
        <v/>
      </c>
      <c r="Q28" s="9" t="n"/>
    </row>
    <row r="29">
      <c r="A29" s="7" t="n">
        <v>25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inlineStr">
        <is>
          <t>A</t>
        </is>
      </c>
      <c r="K29" s="7">
        <f>IF(OR(B29="",D29=""),"",IF(J29="B",B29&amp;", un financement pour "&amp;IFERROR(VLOOKUP(E29,Secteurs!$A$5:$C$16,2,FALSE),"vos projets"),D29&amp;" : un financement pour vos prochains équipements"))</f>
        <v/>
      </c>
      <c r="L29" s="7">
        <f>IF(OR(B29="",D29=""),"","Bonjour "&amp;B29&amp;","&amp;CHAR(10)&amp;CHAR(10)&amp;"Je suis "&amp;'Paramètres'!$B$5&amp;", à la "&amp;'Paramètres'!$B$6&amp;" de "&amp;'Paramètres'!$B$7&amp;"."&amp;IF(I29=""," "," "&amp;I29&amp;" ")&amp;CHAR(10)&amp;CHAR(10)&amp;IFERROR(VLOOKUP(E29,Secteurs!$A$5:$C$16,3,FALSE),Secteurs!$C$16)&amp;CHAR(10)&amp;CHAR(10)&amp;SUBSTITUTE('Paramètres'!$B$12,"{E}",D29)&amp;CHAR(10)&amp;CHAR(10)&amp;'Paramètres'!$B$13&amp;CHAR(10)&amp;CHAR(10)&amp;"Bien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29" s="7">
        <f>IF(OR(B29="",D29=""),"","Bonjour "&amp;B29&amp;","&amp;CHAR(10)&amp;CHAR(10)&amp;SUBSTITUTE('Paramètres'!$B$15,"{E}",D29)&amp;CHAR(10)&amp;CHAR(10)&amp;"Bien cordialement,"&amp;CHAR(10)&amp;'Paramètres'!$B$5)</f>
        <v/>
      </c>
      <c r="N29" s="7" t="inlineStr">
        <is>
          <t>À compléter</t>
        </is>
      </c>
      <c r="O29" s="8" t="n"/>
      <c r="P29" s="8">
        <f>IF(O29="","",O29+7)</f>
        <v/>
      </c>
      <c r="Q29" s="7" t="n"/>
    </row>
    <row r="30">
      <c r="A30" s="9" t="n">
        <v>26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inlineStr">
        <is>
          <t>A</t>
        </is>
      </c>
      <c r="K30" s="9">
        <f>IF(OR(B30="",D30=""),"",IF(J30="B",B30&amp;", un financement pour "&amp;IFERROR(VLOOKUP(E30,Secteurs!$A$5:$C$16,2,FALSE),"vos projets"),D30&amp;" : un financement pour vos prochains équipements"))</f>
        <v/>
      </c>
      <c r="L30" s="9">
        <f>IF(OR(B30="",D30=""),"","Bonjour "&amp;B30&amp;","&amp;CHAR(10)&amp;CHAR(10)&amp;"Je suis "&amp;'Paramètres'!$B$5&amp;", à la "&amp;'Paramètres'!$B$6&amp;" de "&amp;'Paramètres'!$B$7&amp;"."&amp;IF(I30=""," "," "&amp;I30&amp;" ")&amp;CHAR(10)&amp;CHAR(10)&amp;IFERROR(VLOOKUP(E30,Secteurs!$A$5:$C$16,3,FALSE),Secteurs!$C$16)&amp;CHAR(10)&amp;CHAR(10)&amp;SUBSTITUTE('Paramètres'!$B$12,"{E}",D30)&amp;CHAR(10)&amp;CHAR(10)&amp;'Paramètres'!$B$13&amp;CHAR(10)&amp;CHAR(10)&amp;"Bien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0" s="9">
        <f>IF(OR(B30="",D30=""),"","Bonjour "&amp;B30&amp;","&amp;CHAR(10)&amp;CHAR(10)&amp;SUBSTITUTE('Paramètres'!$B$15,"{E}",D30)&amp;CHAR(10)&amp;CHAR(10)&amp;"Bien cordialement,"&amp;CHAR(10)&amp;'Paramètres'!$B$5)</f>
        <v/>
      </c>
      <c r="N30" s="9" t="inlineStr">
        <is>
          <t>À compléter</t>
        </is>
      </c>
      <c r="O30" s="10" t="n"/>
      <c r="P30" s="10">
        <f>IF(O30="","",O30+7)</f>
        <v/>
      </c>
      <c r="Q30" s="9" t="n"/>
    </row>
    <row r="31">
      <c r="A31" s="7" t="n">
        <v>27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inlineStr">
        <is>
          <t>A</t>
        </is>
      </c>
      <c r="K31" s="7">
        <f>IF(OR(B31="",D31=""),"",IF(J31="B",B31&amp;", un financement pour "&amp;IFERROR(VLOOKUP(E31,Secteurs!$A$5:$C$16,2,FALSE),"vos projets"),D31&amp;" : un financement pour vos prochains équipements"))</f>
        <v/>
      </c>
      <c r="L31" s="7">
        <f>IF(OR(B31="",D31=""),"","Bonjour "&amp;B31&amp;","&amp;CHAR(10)&amp;CHAR(10)&amp;"Je suis "&amp;'Paramètres'!$B$5&amp;", à la "&amp;'Paramètres'!$B$6&amp;" de "&amp;'Paramètres'!$B$7&amp;"."&amp;IF(I31=""," "," "&amp;I31&amp;" ")&amp;CHAR(10)&amp;CHAR(10)&amp;IFERROR(VLOOKUP(E31,Secteurs!$A$5:$C$16,3,FALSE),Secteurs!$C$16)&amp;CHAR(10)&amp;CHAR(10)&amp;SUBSTITUTE('Paramètres'!$B$12,"{E}",D31)&amp;CHAR(10)&amp;CHAR(10)&amp;'Paramètres'!$B$13&amp;CHAR(10)&amp;CHAR(10)&amp;"Bien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1" s="7">
        <f>IF(OR(B31="",D31=""),"","Bonjour "&amp;B31&amp;","&amp;CHAR(10)&amp;CHAR(10)&amp;SUBSTITUTE('Paramètres'!$B$15,"{E}",D31)&amp;CHAR(10)&amp;CHAR(10)&amp;"Bien cordialement,"&amp;CHAR(10)&amp;'Paramètres'!$B$5)</f>
        <v/>
      </c>
      <c r="N31" s="7" t="inlineStr">
        <is>
          <t>À compléter</t>
        </is>
      </c>
      <c r="O31" s="8" t="n"/>
      <c r="P31" s="8">
        <f>IF(O31="","",O31+7)</f>
        <v/>
      </c>
      <c r="Q31" s="7" t="n"/>
    </row>
    <row r="32">
      <c r="A32" s="9" t="n">
        <v>28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inlineStr">
        <is>
          <t>A</t>
        </is>
      </c>
      <c r="K32" s="9">
        <f>IF(OR(B32="",D32=""),"",IF(J32="B",B32&amp;", un financement pour "&amp;IFERROR(VLOOKUP(E32,Secteurs!$A$5:$C$16,2,FALSE),"vos projets"),D32&amp;" : un financement pour vos prochains équipements"))</f>
        <v/>
      </c>
      <c r="L32" s="9">
        <f>IF(OR(B32="",D32=""),"","Bonjour "&amp;B32&amp;","&amp;CHAR(10)&amp;CHAR(10)&amp;"Je suis "&amp;'Paramètres'!$B$5&amp;", à la "&amp;'Paramètres'!$B$6&amp;" de "&amp;'Paramètres'!$B$7&amp;"."&amp;IF(I32=""," "," "&amp;I32&amp;" ")&amp;CHAR(10)&amp;CHAR(10)&amp;IFERROR(VLOOKUP(E32,Secteurs!$A$5:$C$16,3,FALSE),Secteurs!$C$16)&amp;CHAR(10)&amp;CHAR(10)&amp;SUBSTITUTE('Paramètres'!$B$12,"{E}",D32)&amp;CHAR(10)&amp;CHAR(10)&amp;'Paramètres'!$B$13&amp;CHAR(10)&amp;CHAR(10)&amp;"Bien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2" s="9">
        <f>IF(OR(B32="",D32=""),"","Bonjour "&amp;B32&amp;","&amp;CHAR(10)&amp;CHAR(10)&amp;SUBSTITUTE('Paramètres'!$B$15,"{E}",D32)&amp;CHAR(10)&amp;CHAR(10)&amp;"Bien cordialement,"&amp;CHAR(10)&amp;'Paramètres'!$B$5)</f>
        <v/>
      </c>
      <c r="N32" s="9" t="inlineStr">
        <is>
          <t>À compléter</t>
        </is>
      </c>
      <c r="O32" s="10" t="n"/>
      <c r="P32" s="10">
        <f>IF(O32="","",O32+7)</f>
        <v/>
      </c>
      <c r="Q32" s="9" t="n"/>
    </row>
    <row r="33">
      <c r="A33" s="7" t="n">
        <v>29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inlineStr">
        <is>
          <t>A</t>
        </is>
      </c>
      <c r="K33" s="7">
        <f>IF(OR(B33="",D33=""),"",IF(J33="B",B33&amp;", un financement pour "&amp;IFERROR(VLOOKUP(E33,Secteurs!$A$5:$C$16,2,FALSE),"vos projets"),D33&amp;" : un financement pour vos prochains équipements"))</f>
        <v/>
      </c>
      <c r="L33" s="7">
        <f>IF(OR(B33="",D33=""),"","Bonjour "&amp;B33&amp;","&amp;CHAR(10)&amp;CHAR(10)&amp;"Je suis "&amp;'Paramètres'!$B$5&amp;", à la "&amp;'Paramètres'!$B$6&amp;" de "&amp;'Paramètres'!$B$7&amp;"."&amp;IF(I33=""," "," "&amp;I33&amp;" ")&amp;CHAR(10)&amp;CHAR(10)&amp;IFERROR(VLOOKUP(E33,Secteurs!$A$5:$C$16,3,FALSE),Secteurs!$C$16)&amp;CHAR(10)&amp;CHAR(10)&amp;SUBSTITUTE('Paramètres'!$B$12,"{E}",D33)&amp;CHAR(10)&amp;CHAR(10)&amp;'Paramètres'!$B$13&amp;CHAR(10)&amp;CHAR(10)&amp;"Bien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3" s="7">
        <f>IF(OR(B33="",D33=""),"","Bonjour "&amp;B33&amp;","&amp;CHAR(10)&amp;CHAR(10)&amp;SUBSTITUTE('Paramètres'!$B$15,"{E}",D33)&amp;CHAR(10)&amp;CHAR(10)&amp;"Bien cordialement,"&amp;CHAR(10)&amp;'Paramètres'!$B$5)</f>
        <v/>
      </c>
      <c r="N33" s="7" t="inlineStr">
        <is>
          <t>À compléter</t>
        </is>
      </c>
      <c r="O33" s="8" t="n"/>
      <c r="P33" s="8">
        <f>IF(O33="","",O33+7)</f>
        <v/>
      </c>
      <c r="Q33" s="7" t="n"/>
    </row>
    <row r="34">
      <c r="A34" s="9" t="n">
        <v>30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inlineStr">
        <is>
          <t>A</t>
        </is>
      </c>
      <c r="K34" s="9">
        <f>IF(OR(B34="",D34=""),"",IF(J34="B",B34&amp;", un financement pour "&amp;IFERROR(VLOOKUP(E34,Secteurs!$A$5:$C$16,2,FALSE),"vos projets"),D34&amp;" : un financement pour vos prochains équipements"))</f>
        <v/>
      </c>
      <c r="L34" s="9">
        <f>IF(OR(B34="",D34=""),"","Bonjour "&amp;B34&amp;","&amp;CHAR(10)&amp;CHAR(10)&amp;"Je suis "&amp;'Paramètres'!$B$5&amp;", à la "&amp;'Paramètres'!$B$6&amp;" de "&amp;'Paramètres'!$B$7&amp;"."&amp;IF(I34=""," "," "&amp;I34&amp;" ")&amp;CHAR(10)&amp;CHAR(10)&amp;IFERROR(VLOOKUP(E34,Secteurs!$A$5:$C$16,3,FALSE),Secteurs!$C$16)&amp;CHAR(10)&amp;CHAR(10)&amp;SUBSTITUTE('Paramètres'!$B$12,"{E}",D34)&amp;CHAR(10)&amp;CHAR(10)&amp;'Paramètres'!$B$13&amp;CHAR(10)&amp;CHAR(10)&amp;"Bien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4" s="9">
        <f>IF(OR(B34="",D34=""),"","Bonjour "&amp;B34&amp;","&amp;CHAR(10)&amp;CHAR(10)&amp;SUBSTITUTE('Paramètres'!$B$15,"{E}",D34)&amp;CHAR(10)&amp;CHAR(10)&amp;"Bien cordialement,"&amp;CHAR(10)&amp;'Paramètres'!$B$5)</f>
        <v/>
      </c>
      <c r="N34" s="9" t="inlineStr">
        <is>
          <t>À compléter</t>
        </is>
      </c>
      <c r="O34" s="10" t="n"/>
      <c r="P34" s="10">
        <f>IF(O34="","",O34+7)</f>
        <v/>
      </c>
      <c r="Q34" s="9" t="n"/>
    </row>
    <row r="35">
      <c r="A35" s="7" t="n">
        <v>31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inlineStr">
        <is>
          <t>A</t>
        </is>
      </c>
      <c r="K35" s="7">
        <f>IF(OR(B35="",D35=""),"",IF(J35="B",B35&amp;", un financement pour "&amp;IFERROR(VLOOKUP(E35,Secteurs!$A$5:$C$16,2,FALSE),"vos projets"),D35&amp;" : un financement pour vos prochains équipements"))</f>
        <v/>
      </c>
      <c r="L35" s="7">
        <f>IF(OR(B35="",D35=""),"","Bonjour "&amp;B35&amp;","&amp;CHAR(10)&amp;CHAR(10)&amp;"Je suis "&amp;'Paramètres'!$B$5&amp;", à la "&amp;'Paramètres'!$B$6&amp;" de "&amp;'Paramètres'!$B$7&amp;"."&amp;IF(I35=""," "," "&amp;I35&amp;" ")&amp;CHAR(10)&amp;CHAR(10)&amp;IFERROR(VLOOKUP(E35,Secteurs!$A$5:$C$16,3,FALSE),Secteurs!$C$16)&amp;CHAR(10)&amp;CHAR(10)&amp;SUBSTITUTE('Paramètres'!$B$12,"{E}",D35)&amp;CHAR(10)&amp;CHAR(10)&amp;'Paramètres'!$B$13&amp;CHAR(10)&amp;CHAR(10)&amp;"Bien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5" s="7">
        <f>IF(OR(B35="",D35=""),"","Bonjour "&amp;B35&amp;","&amp;CHAR(10)&amp;CHAR(10)&amp;SUBSTITUTE('Paramètres'!$B$15,"{E}",D35)&amp;CHAR(10)&amp;CHAR(10)&amp;"Bien cordialement,"&amp;CHAR(10)&amp;'Paramètres'!$B$5)</f>
        <v/>
      </c>
      <c r="N35" s="7" t="inlineStr">
        <is>
          <t>À compléter</t>
        </is>
      </c>
      <c r="O35" s="8" t="n"/>
      <c r="P35" s="8">
        <f>IF(O35="","",O35+7)</f>
        <v/>
      </c>
      <c r="Q35" s="7" t="n"/>
    </row>
    <row r="36">
      <c r="A36" s="9" t="n">
        <v>32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inlineStr">
        <is>
          <t>A</t>
        </is>
      </c>
      <c r="K36" s="9">
        <f>IF(OR(B36="",D36=""),"",IF(J36="B",B36&amp;", un financement pour "&amp;IFERROR(VLOOKUP(E36,Secteurs!$A$5:$C$16,2,FALSE),"vos projets"),D36&amp;" : un financement pour vos prochains équipements"))</f>
        <v/>
      </c>
      <c r="L36" s="9">
        <f>IF(OR(B36="",D36=""),"","Bonjour "&amp;B36&amp;","&amp;CHAR(10)&amp;CHAR(10)&amp;"Je suis "&amp;'Paramètres'!$B$5&amp;", à la "&amp;'Paramètres'!$B$6&amp;" de "&amp;'Paramètres'!$B$7&amp;"."&amp;IF(I36=""," "," "&amp;I36&amp;" ")&amp;CHAR(10)&amp;CHAR(10)&amp;IFERROR(VLOOKUP(E36,Secteurs!$A$5:$C$16,3,FALSE),Secteurs!$C$16)&amp;CHAR(10)&amp;CHAR(10)&amp;SUBSTITUTE('Paramètres'!$B$12,"{E}",D36)&amp;CHAR(10)&amp;CHAR(10)&amp;'Paramètres'!$B$13&amp;CHAR(10)&amp;CHAR(10)&amp;"Bien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6" s="9">
        <f>IF(OR(B36="",D36=""),"","Bonjour "&amp;B36&amp;","&amp;CHAR(10)&amp;CHAR(10)&amp;SUBSTITUTE('Paramètres'!$B$15,"{E}",D36)&amp;CHAR(10)&amp;CHAR(10)&amp;"Bien cordialement,"&amp;CHAR(10)&amp;'Paramètres'!$B$5)</f>
        <v/>
      </c>
      <c r="N36" s="9" t="inlineStr">
        <is>
          <t>À compléter</t>
        </is>
      </c>
      <c r="O36" s="10" t="n"/>
      <c r="P36" s="10">
        <f>IF(O36="","",O36+7)</f>
        <v/>
      </c>
      <c r="Q36" s="9" t="n"/>
    </row>
    <row r="37">
      <c r="A37" s="7" t="n">
        <v>33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inlineStr">
        <is>
          <t>A</t>
        </is>
      </c>
      <c r="K37" s="7">
        <f>IF(OR(B37="",D37=""),"",IF(J37="B",B37&amp;", un financement pour "&amp;IFERROR(VLOOKUP(E37,Secteurs!$A$5:$C$16,2,FALSE),"vos projets"),D37&amp;" : un financement pour vos prochains équipements"))</f>
        <v/>
      </c>
      <c r="L37" s="7">
        <f>IF(OR(B37="",D37=""),"","Bonjour "&amp;B37&amp;","&amp;CHAR(10)&amp;CHAR(10)&amp;"Je suis "&amp;'Paramètres'!$B$5&amp;", à la "&amp;'Paramètres'!$B$6&amp;" de "&amp;'Paramètres'!$B$7&amp;"."&amp;IF(I37=""," "," "&amp;I37&amp;" ")&amp;CHAR(10)&amp;CHAR(10)&amp;IFERROR(VLOOKUP(E37,Secteurs!$A$5:$C$16,3,FALSE),Secteurs!$C$16)&amp;CHAR(10)&amp;CHAR(10)&amp;SUBSTITUTE('Paramètres'!$B$12,"{E}",D37)&amp;CHAR(10)&amp;CHAR(10)&amp;'Paramètres'!$B$13&amp;CHAR(10)&amp;CHAR(10)&amp;"Bien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7" s="7">
        <f>IF(OR(B37="",D37=""),"","Bonjour "&amp;B37&amp;","&amp;CHAR(10)&amp;CHAR(10)&amp;SUBSTITUTE('Paramètres'!$B$15,"{E}",D37)&amp;CHAR(10)&amp;CHAR(10)&amp;"Bien cordialement,"&amp;CHAR(10)&amp;'Paramètres'!$B$5)</f>
        <v/>
      </c>
      <c r="N37" s="7" t="inlineStr">
        <is>
          <t>À compléter</t>
        </is>
      </c>
      <c r="O37" s="8" t="n"/>
      <c r="P37" s="8">
        <f>IF(O37="","",O37+7)</f>
        <v/>
      </c>
      <c r="Q37" s="7" t="n"/>
    </row>
    <row r="38">
      <c r="A38" s="9" t="n">
        <v>34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inlineStr">
        <is>
          <t>A</t>
        </is>
      </c>
      <c r="K38" s="9">
        <f>IF(OR(B38="",D38=""),"",IF(J38="B",B38&amp;", un financement pour "&amp;IFERROR(VLOOKUP(E38,Secteurs!$A$5:$C$16,2,FALSE),"vos projets"),D38&amp;" : un financement pour vos prochains équipements"))</f>
        <v/>
      </c>
      <c r="L38" s="9">
        <f>IF(OR(B38="",D38=""),"","Bonjour "&amp;B38&amp;","&amp;CHAR(10)&amp;CHAR(10)&amp;"Je suis "&amp;'Paramètres'!$B$5&amp;", à la "&amp;'Paramètres'!$B$6&amp;" de "&amp;'Paramètres'!$B$7&amp;"."&amp;IF(I38=""," "," "&amp;I38&amp;" ")&amp;CHAR(10)&amp;CHAR(10)&amp;IFERROR(VLOOKUP(E38,Secteurs!$A$5:$C$16,3,FALSE),Secteurs!$C$16)&amp;CHAR(10)&amp;CHAR(10)&amp;SUBSTITUTE('Paramètres'!$B$12,"{E}",D38)&amp;CHAR(10)&amp;CHAR(10)&amp;'Paramètres'!$B$13&amp;CHAR(10)&amp;CHAR(10)&amp;"Bien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8" s="9">
        <f>IF(OR(B38="",D38=""),"","Bonjour "&amp;B38&amp;","&amp;CHAR(10)&amp;CHAR(10)&amp;SUBSTITUTE('Paramètres'!$B$15,"{E}",D38)&amp;CHAR(10)&amp;CHAR(10)&amp;"Bien cordialement,"&amp;CHAR(10)&amp;'Paramètres'!$B$5)</f>
        <v/>
      </c>
      <c r="N38" s="9" t="inlineStr">
        <is>
          <t>À compléter</t>
        </is>
      </c>
      <c r="O38" s="10" t="n"/>
      <c r="P38" s="10">
        <f>IF(O38="","",O38+7)</f>
        <v/>
      </c>
      <c r="Q38" s="9" t="n"/>
    </row>
    <row r="39">
      <c r="A39" s="7" t="n">
        <v>35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inlineStr">
        <is>
          <t>A</t>
        </is>
      </c>
      <c r="K39" s="7">
        <f>IF(OR(B39="",D39=""),"",IF(J39="B",B39&amp;", un financement pour "&amp;IFERROR(VLOOKUP(E39,Secteurs!$A$5:$C$16,2,FALSE),"vos projets"),D39&amp;" : un financement pour vos prochains équipements"))</f>
        <v/>
      </c>
      <c r="L39" s="7">
        <f>IF(OR(B39="",D39=""),"","Bonjour "&amp;B39&amp;","&amp;CHAR(10)&amp;CHAR(10)&amp;"Je suis "&amp;'Paramètres'!$B$5&amp;", à la "&amp;'Paramètres'!$B$6&amp;" de "&amp;'Paramètres'!$B$7&amp;"."&amp;IF(I39=""," "," "&amp;I39&amp;" ")&amp;CHAR(10)&amp;CHAR(10)&amp;IFERROR(VLOOKUP(E39,Secteurs!$A$5:$C$16,3,FALSE),Secteurs!$C$16)&amp;CHAR(10)&amp;CHAR(10)&amp;SUBSTITUTE('Paramètres'!$B$12,"{E}",D39)&amp;CHAR(10)&amp;CHAR(10)&amp;'Paramètres'!$B$13&amp;CHAR(10)&amp;CHAR(10)&amp;"Bien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39" s="7">
        <f>IF(OR(B39="",D39=""),"","Bonjour "&amp;B39&amp;","&amp;CHAR(10)&amp;CHAR(10)&amp;SUBSTITUTE('Paramètres'!$B$15,"{E}",D39)&amp;CHAR(10)&amp;CHAR(10)&amp;"Bien cordialement,"&amp;CHAR(10)&amp;'Paramètres'!$B$5)</f>
        <v/>
      </c>
      <c r="N39" s="7" t="inlineStr">
        <is>
          <t>À compléter</t>
        </is>
      </c>
      <c r="O39" s="8" t="n"/>
      <c r="P39" s="8">
        <f>IF(O39="","",O39+7)</f>
        <v/>
      </c>
      <c r="Q39" s="7" t="n"/>
    </row>
    <row r="40">
      <c r="A40" s="9" t="n">
        <v>36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inlineStr">
        <is>
          <t>A</t>
        </is>
      </c>
      <c r="K40" s="9">
        <f>IF(OR(B40="",D40=""),"",IF(J40="B",B40&amp;", un financement pour "&amp;IFERROR(VLOOKUP(E40,Secteurs!$A$5:$C$16,2,FALSE),"vos projets"),D40&amp;" : un financement pour vos prochains équipements"))</f>
        <v/>
      </c>
      <c r="L40" s="9">
        <f>IF(OR(B40="",D40=""),"","Bonjour "&amp;B40&amp;","&amp;CHAR(10)&amp;CHAR(10)&amp;"Je suis "&amp;'Paramètres'!$B$5&amp;", à la "&amp;'Paramètres'!$B$6&amp;" de "&amp;'Paramètres'!$B$7&amp;"."&amp;IF(I40=""," "," "&amp;I40&amp;" ")&amp;CHAR(10)&amp;CHAR(10)&amp;IFERROR(VLOOKUP(E40,Secteurs!$A$5:$C$16,3,FALSE),Secteurs!$C$16)&amp;CHAR(10)&amp;CHAR(10)&amp;SUBSTITUTE('Paramètres'!$B$12,"{E}",D40)&amp;CHAR(10)&amp;CHAR(10)&amp;'Paramètres'!$B$13&amp;CHAR(10)&amp;CHAR(10)&amp;"Bien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0" s="9">
        <f>IF(OR(B40="",D40=""),"","Bonjour "&amp;B40&amp;","&amp;CHAR(10)&amp;CHAR(10)&amp;SUBSTITUTE('Paramètres'!$B$15,"{E}",D40)&amp;CHAR(10)&amp;CHAR(10)&amp;"Bien cordialement,"&amp;CHAR(10)&amp;'Paramètres'!$B$5)</f>
        <v/>
      </c>
      <c r="N40" s="9" t="inlineStr">
        <is>
          <t>À compléter</t>
        </is>
      </c>
      <c r="O40" s="10" t="n"/>
      <c r="P40" s="10">
        <f>IF(O40="","",O40+7)</f>
        <v/>
      </c>
      <c r="Q40" s="9" t="n"/>
    </row>
    <row r="41">
      <c r="A41" s="7" t="n">
        <v>37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inlineStr">
        <is>
          <t>A</t>
        </is>
      </c>
      <c r="K41" s="7">
        <f>IF(OR(B41="",D41=""),"",IF(J41="B",B41&amp;", un financement pour "&amp;IFERROR(VLOOKUP(E41,Secteurs!$A$5:$C$16,2,FALSE),"vos projets"),D41&amp;" : un financement pour vos prochains équipements"))</f>
        <v/>
      </c>
      <c r="L41" s="7">
        <f>IF(OR(B41="",D41=""),"","Bonjour "&amp;B41&amp;","&amp;CHAR(10)&amp;CHAR(10)&amp;"Je suis "&amp;'Paramètres'!$B$5&amp;", à la "&amp;'Paramètres'!$B$6&amp;" de "&amp;'Paramètres'!$B$7&amp;"."&amp;IF(I41=""," "," "&amp;I41&amp;" ")&amp;CHAR(10)&amp;CHAR(10)&amp;IFERROR(VLOOKUP(E41,Secteurs!$A$5:$C$16,3,FALSE),Secteurs!$C$16)&amp;CHAR(10)&amp;CHAR(10)&amp;SUBSTITUTE('Paramètres'!$B$12,"{E}",D41)&amp;CHAR(10)&amp;CHAR(10)&amp;'Paramètres'!$B$13&amp;CHAR(10)&amp;CHAR(10)&amp;"Bien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1" s="7">
        <f>IF(OR(B41="",D41=""),"","Bonjour "&amp;B41&amp;","&amp;CHAR(10)&amp;CHAR(10)&amp;SUBSTITUTE('Paramètres'!$B$15,"{E}",D41)&amp;CHAR(10)&amp;CHAR(10)&amp;"Bien cordialement,"&amp;CHAR(10)&amp;'Paramètres'!$B$5)</f>
        <v/>
      </c>
      <c r="N41" s="7" t="inlineStr">
        <is>
          <t>À compléter</t>
        </is>
      </c>
      <c r="O41" s="8" t="n"/>
      <c r="P41" s="8">
        <f>IF(O41="","",O41+7)</f>
        <v/>
      </c>
      <c r="Q41" s="7" t="n"/>
    </row>
    <row r="42">
      <c r="A42" s="9" t="n">
        <v>38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inlineStr">
        <is>
          <t>A</t>
        </is>
      </c>
      <c r="K42" s="9">
        <f>IF(OR(B42="",D42=""),"",IF(J42="B",B42&amp;", un financement pour "&amp;IFERROR(VLOOKUP(E42,Secteurs!$A$5:$C$16,2,FALSE),"vos projets"),D42&amp;" : un financement pour vos prochains équipements"))</f>
        <v/>
      </c>
      <c r="L42" s="9">
        <f>IF(OR(B42="",D42=""),"","Bonjour "&amp;B42&amp;","&amp;CHAR(10)&amp;CHAR(10)&amp;"Je suis "&amp;'Paramètres'!$B$5&amp;", à la "&amp;'Paramètres'!$B$6&amp;" de "&amp;'Paramètres'!$B$7&amp;"."&amp;IF(I42=""," "," "&amp;I42&amp;" ")&amp;CHAR(10)&amp;CHAR(10)&amp;IFERROR(VLOOKUP(E42,Secteurs!$A$5:$C$16,3,FALSE),Secteurs!$C$16)&amp;CHAR(10)&amp;CHAR(10)&amp;SUBSTITUTE('Paramètres'!$B$12,"{E}",D42)&amp;CHAR(10)&amp;CHAR(10)&amp;'Paramètres'!$B$13&amp;CHAR(10)&amp;CHAR(10)&amp;"Bien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2" s="9">
        <f>IF(OR(B42="",D42=""),"","Bonjour "&amp;B42&amp;","&amp;CHAR(10)&amp;CHAR(10)&amp;SUBSTITUTE('Paramètres'!$B$15,"{E}",D42)&amp;CHAR(10)&amp;CHAR(10)&amp;"Bien cordialement,"&amp;CHAR(10)&amp;'Paramètres'!$B$5)</f>
        <v/>
      </c>
      <c r="N42" s="9" t="inlineStr">
        <is>
          <t>À compléter</t>
        </is>
      </c>
      <c r="O42" s="10" t="n"/>
      <c r="P42" s="10">
        <f>IF(O42="","",O42+7)</f>
        <v/>
      </c>
      <c r="Q42" s="9" t="n"/>
    </row>
    <row r="43">
      <c r="A43" s="7" t="n">
        <v>39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inlineStr">
        <is>
          <t>A</t>
        </is>
      </c>
      <c r="K43" s="7">
        <f>IF(OR(B43="",D43=""),"",IF(J43="B",B43&amp;", un financement pour "&amp;IFERROR(VLOOKUP(E43,Secteurs!$A$5:$C$16,2,FALSE),"vos projets"),D43&amp;" : un financement pour vos prochains équipements"))</f>
        <v/>
      </c>
      <c r="L43" s="7">
        <f>IF(OR(B43="",D43=""),"","Bonjour "&amp;B43&amp;","&amp;CHAR(10)&amp;CHAR(10)&amp;"Je suis "&amp;'Paramètres'!$B$5&amp;", à la "&amp;'Paramètres'!$B$6&amp;" de "&amp;'Paramètres'!$B$7&amp;"."&amp;IF(I43=""," "," "&amp;I43&amp;" ")&amp;CHAR(10)&amp;CHAR(10)&amp;IFERROR(VLOOKUP(E43,Secteurs!$A$5:$C$16,3,FALSE),Secteurs!$C$16)&amp;CHAR(10)&amp;CHAR(10)&amp;SUBSTITUTE('Paramètres'!$B$12,"{E}",D43)&amp;CHAR(10)&amp;CHAR(10)&amp;'Paramètres'!$B$13&amp;CHAR(10)&amp;CHAR(10)&amp;"Bien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3" s="7">
        <f>IF(OR(B43="",D43=""),"","Bonjour "&amp;B43&amp;","&amp;CHAR(10)&amp;CHAR(10)&amp;SUBSTITUTE('Paramètres'!$B$15,"{E}",D43)&amp;CHAR(10)&amp;CHAR(10)&amp;"Bien cordialement,"&amp;CHAR(10)&amp;'Paramètres'!$B$5)</f>
        <v/>
      </c>
      <c r="N43" s="7" t="inlineStr">
        <is>
          <t>À compléter</t>
        </is>
      </c>
      <c r="O43" s="8" t="n"/>
      <c r="P43" s="8">
        <f>IF(O43="","",O43+7)</f>
        <v/>
      </c>
      <c r="Q43" s="7" t="n"/>
    </row>
    <row r="44">
      <c r="A44" s="9" t="n">
        <v>40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inlineStr">
        <is>
          <t>A</t>
        </is>
      </c>
      <c r="K44" s="9">
        <f>IF(OR(B44="",D44=""),"",IF(J44="B",B44&amp;", un financement pour "&amp;IFERROR(VLOOKUP(E44,Secteurs!$A$5:$C$16,2,FALSE),"vos projets"),D44&amp;" : un financement pour vos prochains équipements"))</f>
        <v/>
      </c>
      <c r="L44" s="9">
        <f>IF(OR(B44="",D44=""),"","Bonjour "&amp;B44&amp;","&amp;CHAR(10)&amp;CHAR(10)&amp;"Je suis "&amp;'Paramètres'!$B$5&amp;", à la "&amp;'Paramètres'!$B$6&amp;" de "&amp;'Paramètres'!$B$7&amp;"."&amp;IF(I44=""," "," "&amp;I44&amp;" ")&amp;CHAR(10)&amp;CHAR(10)&amp;IFERROR(VLOOKUP(E44,Secteurs!$A$5:$C$16,3,FALSE),Secteurs!$C$16)&amp;CHAR(10)&amp;CHAR(10)&amp;SUBSTITUTE('Paramètres'!$B$12,"{E}",D44)&amp;CHAR(10)&amp;CHAR(10)&amp;'Paramètres'!$B$13&amp;CHAR(10)&amp;CHAR(10)&amp;"Bien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4" s="9">
        <f>IF(OR(B44="",D44=""),"","Bonjour "&amp;B44&amp;","&amp;CHAR(10)&amp;CHAR(10)&amp;SUBSTITUTE('Paramètres'!$B$15,"{E}",D44)&amp;CHAR(10)&amp;CHAR(10)&amp;"Bien cordialement,"&amp;CHAR(10)&amp;'Paramètres'!$B$5)</f>
        <v/>
      </c>
      <c r="N44" s="9" t="inlineStr">
        <is>
          <t>À compléter</t>
        </is>
      </c>
      <c r="O44" s="10" t="n"/>
      <c r="P44" s="10">
        <f>IF(O44="","",O44+7)</f>
        <v/>
      </c>
      <c r="Q44" s="9" t="n"/>
    </row>
    <row r="45">
      <c r="A45" s="7" t="n">
        <v>41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inlineStr">
        <is>
          <t>A</t>
        </is>
      </c>
      <c r="K45" s="7">
        <f>IF(OR(B45="",D45=""),"",IF(J45="B",B45&amp;", un financement pour "&amp;IFERROR(VLOOKUP(E45,Secteurs!$A$5:$C$16,2,FALSE),"vos projets"),D45&amp;" : un financement pour vos prochains équipements"))</f>
        <v/>
      </c>
      <c r="L45" s="7">
        <f>IF(OR(B45="",D45=""),"","Bonjour "&amp;B45&amp;","&amp;CHAR(10)&amp;CHAR(10)&amp;"Je suis "&amp;'Paramètres'!$B$5&amp;", à la "&amp;'Paramètres'!$B$6&amp;" de "&amp;'Paramètres'!$B$7&amp;"."&amp;IF(I45=""," "," "&amp;I45&amp;" ")&amp;CHAR(10)&amp;CHAR(10)&amp;IFERROR(VLOOKUP(E45,Secteurs!$A$5:$C$16,3,FALSE),Secteurs!$C$16)&amp;CHAR(10)&amp;CHAR(10)&amp;SUBSTITUTE('Paramètres'!$B$12,"{E}",D45)&amp;CHAR(10)&amp;CHAR(10)&amp;'Paramètres'!$B$13&amp;CHAR(10)&amp;CHAR(10)&amp;"Bien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5" s="7">
        <f>IF(OR(B45="",D45=""),"","Bonjour "&amp;B45&amp;","&amp;CHAR(10)&amp;CHAR(10)&amp;SUBSTITUTE('Paramètres'!$B$15,"{E}",D45)&amp;CHAR(10)&amp;CHAR(10)&amp;"Bien cordialement,"&amp;CHAR(10)&amp;'Paramètres'!$B$5)</f>
        <v/>
      </c>
      <c r="N45" s="7" t="inlineStr">
        <is>
          <t>À compléter</t>
        </is>
      </c>
      <c r="O45" s="8" t="n"/>
      <c r="P45" s="8">
        <f>IF(O45="","",O45+7)</f>
        <v/>
      </c>
      <c r="Q45" s="7" t="n"/>
    </row>
    <row r="46">
      <c r="A46" s="9" t="n">
        <v>42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inlineStr">
        <is>
          <t>A</t>
        </is>
      </c>
      <c r="K46" s="9">
        <f>IF(OR(B46="",D46=""),"",IF(J46="B",B46&amp;", un financement pour "&amp;IFERROR(VLOOKUP(E46,Secteurs!$A$5:$C$16,2,FALSE),"vos projets"),D46&amp;" : un financement pour vos prochains équipements"))</f>
        <v/>
      </c>
      <c r="L46" s="9">
        <f>IF(OR(B46="",D46=""),"","Bonjour "&amp;B46&amp;","&amp;CHAR(10)&amp;CHAR(10)&amp;"Je suis "&amp;'Paramètres'!$B$5&amp;", à la "&amp;'Paramètres'!$B$6&amp;" de "&amp;'Paramètres'!$B$7&amp;"."&amp;IF(I46=""," "," "&amp;I46&amp;" ")&amp;CHAR(10)&amp;CHAR(10)&amp;IFERROR(VLOOKUP(E46,Secteurs!$A$5:$C$16,3,FALSE),Secteurs!$C$16)&amp;CHAR(10)&amp;CHAR(10)&amp;SUBSTITUTE('Paramètres'!$B$12,"{E}",D46)&amp;CHAR(10)&amp;CHAR(10)&amp;'Paramètres'!$B$13&amp;CHAR(10)&amp;CHAR(10)&amp;"Bien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6" s="9">
        <f>IF(OR(B46="",D46=""),"","Bonjour "&amp;B46&amp;","&amp;CHAR(10)&amp;CHAR(10)&amp;SUBSTITUTE('Paramètres'!$B$15,"{E}",D46)&amp;CHAR(10)&amp;CHAR(10)&amp;"Bien cordialement,"&amp;CHAR(10)&amp;'Paramètres'!$B$5)</f>
        <v/>
      </c>
      <c r="N46" s="9" t="inlineStr">
        <is>
          <t>À compléter</t>
        </is>
      </c>
      <c r="O46" s="10" t="n"/>
      <c r="P46" s="10">
        <f>IF(O46="","",O46+7)</f>
        <v/>
      </c>
      <c r="Q46" s="9" t="n"/>
    </row>
    <row r="47">
      <c r="A47" s="7" t="n">
        <v>43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inlineStr">
        <is>
          <t>A</t>
        </is>
      </c>
      <c r="K47" s="7">
        <f>IF(OR(B47="",D47=""),"",IF(J47="B",B47&amp;", un financement pour "&amp;IFERROR(VLOOKUP(E47,Secteurs!$A$5:$C$16,2,FALSE),"vos projets"),D47&amp;" : un financement pour vos prochains équipements"))</f>
        <v/>
      </c>
      <c r="L47" s="7">
        <f>IF(OR(B47="",D47=""),"","Bonjour "&amp;B47&amp;","&amp;CHAR(10)&amp;CHAR(10)&amp;"Je suis "&amp;'Paramètres'!$B$5&amp;", à la "&amp;'Paramètres'!$B$6&amp;" de "&amp;'Paramètres'!$B$7&amp;"."&amp;IF(I47=""," "," "&amp;I47&amp;" ")&amp;CHAR(10)&amp;CHAR(10)&amp;IFERROR(VLOOKUP(E47,Secteurs!$A$5:$C$16,3,FALSE),Secteurs!$C$16)&amp;CHAR(10)&amp;CHAR(10)&amp;SUBSTITUTE('Paramètres'!$B$12,"{E}",D47)&amp;CHAR(10)&amp;CHAR(10)&amp;'Paramètres'!$B$13&amp;CHAR(10)&amp;CHAR(10)&amp;"Bien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7" s="7">
        <f>IF(OR(B47="",D47=""),"","Bonjour "&amp;B47&amp;","&amp;CHAR(10)&amp;CHAR(10)&amp;SUBSTITUTE('Paramètres'!$B$15,"{E}",D47)&amp;CHAR(10)&amp;CHAR(10)&amp;"Bien cordialement,"&amp;CHAR(10)&amp;'Paramètres'!$B$5)</f>
        <v/>
      </c>
      <c r="N47" s="7" t="inlineStr">
        <is>
          <t>À compléter</t>
        </is>
      </c>
      <c r="O47" s="8" t="n"/>
      <c r="P47" s="8">
        <f>IF(O47="","",O47+7)</f>
        <v/>
      </c>
      <c r="Q47" s="7" t="n"/>
    </row>
    <row r="48">
      <c r="A48" s="9" t="n">
        <v>44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inlineStr">
        <is>
          <t>A</t>
        </is>
      </c>
      <c r="K48" s="9">
        <f>IF(OR(B48="",D48=""),"",IF(J48="B",B48&amp;", un financement pour "&amp;IFERROR(VLOOKUP(E48,Secteurs!$A$5:$C$16,2,FALSE),"vos projets"),D48&amp;" : un financement pour vos prochains équipements"))</f>
        <v/>
      </c>
      <c r="L48" s="9">
        <f>IF(OR(B48="",D48=""),"","Bonjour "&amp;B48&amp;","&amp;CHAR(10)&amp;CHAR(10)&amp;"Je suis "&amp;'Paramètres'!$B$5&amp;", à la "&amp;'Paramètres'!$B$6&amp;" de "&amp;'Paramètres'!$B$7&amp;"."&amp;IF(I48=""," "," "&amp;I48&amp;" ")&amp;CHAR(10)&amp;CHAR(10)&amp;IFERROR(VLOOKUP(E48,Secteurs!$A$5:$C$16,3,FALSE),Secteurs!$C$16)&amp;CHAR(10)&amp;CHAR(10)&amp;SUBSTITUTE('Paramètres'!$B$12,"{E}",D48)&amp;CHAR(10)&amp;CHAR(10)&amp;'Paramètres'!$B$13&amp;CHAR(10)&amp;CHAR(10)&amp;"Bien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8" s="9">
        <f>IF(OR(B48="",D48=""),"","Bonjour "&amp;B48&amp;","&amp;CHAR(10)&amp;CHAR(10)&amp;SUBSTITUTE('Paramètres'!$B$15,"{E}",D48)&amp;CHAR(10)&amp;CHAR(10)&amp;"Bien cordialement,"&amp;CHAR(10)&amp;'Paramètres'!$B$5)</f>
        <v/>
      </c>
      <c r="N48" s="9" t="inlineStr">
        <is>
          <t>À compléter</t>
        </is>
      </c>
      <c r="O48" s="10" t="n"/>
      <c r="P48" s="10">
        <f>IF(O48="","",O48+7)</f>
        <v/>
      </c>
      <c r="Q48" s="9" t="n"/>
    </row>
    <row r="49">
      <c r="A49" s="7" t="n">
        <v>45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inlineStr">
        <is>
          <t>A</t>
        </is>
      </c>
      <c r="K49" s="7">
        <f>IF(OR(B49="",D49=""),"",IF(J49="B",B49&amp;", un financement pour "&amp;IFERROR(VLOOKUP(E49,Secteurs!$A$5:$C$16,2,FALSE),"vos projets"),D49&amp;" : un financement pour vos prochains équipements"))</f>
        <v/>
      </c>
      <c r="L49" s="7">
        <f>IF(OR(B49="",D49=""),"","Bonjour "&amp;B49&amp;","&amp;CHAR(10)&amp;CHAR(10)&amp;"Je suis "&amp;'Paramètres'!$B$5&amp;", à la "&amp;'Paramètres'!$B$6&amp;" de "&amp;'Paramètres'!$B$7&amp;"."&amp;IF(I49=""," "," "&amp;I49&amp;" ")&amp;CHAR(10)&amp;CHAR(10)&amp;IFERROR(VLOOKUP(E49,Secteurs!$A$5:$C$16,3,FALSE),Secteurs!$C$16)&amp;CHAR(10)&amp;CHAR(10)&amp;SUBSTITUTE('Paramètres'!$B$12,"{E}",D49)&amp;CHAR(10)&amp;CHAR(10)&amp;'Paramètres'!$B$13&amp;CHAR(10)&amp;CHAR(10)&amp;"Bien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49" s="7">
        <f>IF(OR(B49="",D49=""),"","Bonjour "&amp;B49&amp;","&amp;CHAR(10)&amp;CHAR(10)&amp;SUBSTITUTE('Paramètres'!$B$15,"{E}",D49)&amp;CHAR(10)&amp;CHAR(10)&amp;"Bien cordialement,"&amp;CHAR(10)&amp;'Paramètres'!$B$5)</f>
        <v/>
      </c>
      <c r="N49" s="7" t="inlineStr">
        <is>
          <t>À compléter</t>
        </is>
      </c>
      <c r="O49" s="8" t="n"/>
      <c r="P49" s="8">
        <f>IF(O49="","",O49+7)</f>
        <v/>
      </c>
      <c r="Q49" s="7" t="n"/>
    </row>
    <row r="50">
      <c r="A50" s="9" t="n">
        <v>46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inlineStr">
        <is>
          <t>A</t>
        </is>
      </c>
      <c r="K50" s="9">
        <f>IF(OR(B50="",D50=""),"",IF(J50="B",B50&amp;", un financement pour "&amp;IFERROR(VLOOKUP(E50,Secteurs!$A$5:$C$16,2,FALSE),"vos projets"),D50&amp;" : un financement pour vos prochains équipements"))</f>
        <v/>
      </c>
      <c r="L50" s="9">
        <f>IF(OR(B50="",D50=""),"","Bonjour "&amp;B50&amp;","&amp;CHAR(10)&amp;CHAR(10)&amp;"Je suis "&amp;'Paramètres'!$B$5&amp;", à la "&amp;'Paramètres'!$B$6&amp;" de "&amp;'Paramètres'!$B$7&amp;"."&amp;IF(I50=""," "," "&amp;I50&amp;" ")&amp;CHAR(10)&amp;CHAR(10)&amp;IFERROR(VLOOKUP(E50,Secteurs!$A$5:$C$16,3,FALSE),Secteurs!$C$16)&amp;CHAR(10)&amp;CHAR(10)&amp;SUBSTITUTE('Paramètres'!$B$12,"{E}",D50)&amp;CHAR(10)&amp;CHAR(10)&amp;'Paramètres'!$B$13&amp;CHAR(10)&amp;CHAR(10)&amp;"Bien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0" s="9">
        <f>IF(OR(B50="",D50=""),"","Bonjour "&amp;B50&amp;","&amp;CHAR(10)&amp;CHAR(10)&amp;SUBSTITUTE('Paramètres'!$B$15,"{E}",D50)&amp;CHAR(10)&amp;CHAR(10)&amp;"Bien cordialement,"&amp;CHAR(10)&amp;'Paramètres'!$B$5)</f>
        <v/>
      </c>
      <c r="N50" s="9" t="inlineStr">
        <is>
          <t>À compléter</t>
        </is>
      </c>
      <c r="O50" s="10" t="n"/>
      <c r="P50" s="10">
        <f>IF(O50="","",O50+7)</f>
        <v/>
      </c>
      <c r="Q50" s="9" t="n"/>
    </row>
    <row r="51">
      <c r="A51" s="7" t="n">
        <v>47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inlineStr">
        <is>
          <t>A</t>
        </is>
      </c>
      <c r="K51" s="7">
        <f>IF(OR(B51="",D51=""),"",IF(J51="B",B51&amp;", un financement pour "&amp;IFERROR(VLOOKUP(E51,Secteurs!$A$5:$C$16,2,FALSE),"vos projets"),D51&amp;" : un financement pour vos prochains équipements"))</f>
        <v/>
      </c>
      <c r="L51" s="7">
        <f>IF(OR(B51="",D51=""),"","Bonjour "&amp;B51&amp;","&amp;CHAR(10)&amp;CHAR(10)&amp;"Je suis "&amp;'Paramètres'!$B$5&amp;", à la "&amp;'Paramètres'!$B$6&amp;" de "&amp;'Paramètres'!$B$7&amp;"."&amp;IF(I51=""," "," "&amp;I51&amp;" ")&amp;CHAR(10)&amp;CHAR(10)&amp;IFERROR(VLOOKUP(E51,Secteurs!$A$5:$C$16,3,FALSE),Secteurs!$C$16)&amp;CHAR(10)&amp;CHAR(10)&amp;SUBSTITUTE('Paramètres'!$B$12,"{E}",D51)&amp;CHAR(10)&amp;CHAR(10)&amp;'Paramètres'!$B$13&amp;CHAR(10)&amp;CHAR(10)&amp;"Bien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1" s="7">
        <f>IF(OR(B51="",D51=""),"","Bonjour "&amp;B51&amp;","&amp;CHAR(10)&amp;CHAR(10)&amp;SUBSTITUTE('Paramètres'!$B$15,"{E}",D51)&amp;CHAR(10)&amp;CHAR(10)&amp;"Bien cordialement,"&amp;CHAR(10)&amp;'Paramètres'!$B$5)</f>
        <v/>
      </c>
      <c r="N51" s="7" t="inlineStr">
        <is>
          <t>À compléter</t>
        </is>
      </c>
      <c r="O51" s="8" t="n"/>
      <c r="P51" s="8">
        <f>IF(O51="","",O51+7)</f>
        <v/>
      </c>
      <c r="Q51" s="7" t="n"/>
    </row>
    <row r="52">
      <c r="A52" s="9" t="n">
        <v>48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inlineStr">
        <is>
          <t>A</t>
        </is>
      </c>
      <c r="K52" s="9">
        <f>IF(OR(B52="",D52=""),"",IF(J52="B",B52&amp;", un financement pour "&amp;IFERROR(VLOOKUP(E52,Secteurs!$A$5:$C$16,2,FALSE),"vos projets"),D52&amp;" : un financement pour vos prochains équipements"))</f>
        <v/>
      </c>
      <c r="L52" s="9">
        <f>IF(OR(B52="",D52=""),"","Bonjour "&amp;B52&amp;","&amp;CHAR(10)&amp;CHAR(10)&amp;"Je suis "&amp;'Paramètres'!$B$5&amp;", à la "&amp;'Paramètres'!$B$6&amp;" de "&amp;'Paramètres'!$B$7&amp;"."&amp;IF(I52=""," "," "&amp;I52&amp;" ")&amp;CHAR(10)&amp;CHAR(10)&amp;IFERROR(VLOOKUP(E52,Secteurs!$A$5:$C$16,3,FALSE),Secteurs!$C$16)&amp;CHAR(10)&amp;CHAR(10)&amp;SUBSTITUTE('Paramètres'!$B$12,"{E}",D52)&amp;CHAR(10)&amp;CHAR(10)&amp;'Paramètres'!$B$13&amp;CHAR(10)&amp;CHAR(10)&amp;"Bien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2" s="9">
        <f>IF(OR(B52="",D52=""),"","Bonjour "&amp;B52&amp;","&amp;CHAR(10)&amp;CHAR(10)&amp;SUBSTITUTE('Paramètres'!$B$15,"{E}",D52)&amp;CHAR(10)&amp;CHAR(10)&amp;"Bien cordialement,"&amp;CHAR(10)&amp;'Paramètres'!$B$5)</f>
        <v/>
      </c>
      <c r="N52" s="9" t="inlineStr">
        <is>
          <t>À compléter</t>
        </is>
      </c>
      <c r="O52" s="10" t="n"/>
      <c r="P52" s="10">
        <f>IF(O52="","",O52+7)</f>
        <v/>
      </c>
      <c r="Q52" s="9" t="n"/>
    </row>
    <row r="53">
      <c r="A53" s="7" t="n">
        <v>49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inlineStr">
        <is>
          <t>A</t>
        </is>
      </c>
      <c r="K53" s="7">
        <f>IF(OR(B53="",D53=""),"",IF(J53="B",B53&amp;", un financement pour "&amp;IFERROR(VLOOKUP(E53,Secteurs!$A$5:$C$16,2,FALSE),"vos projets"),D53&amp;" : un financement pour vos prochains équipements"))</f>
        <v/>
      </c>
      <c r="L53" s="7">
        <f>IF(OR(B53="",D53=""),"","Bonjour "&amp;B53&amp;","&amp;CHAR(10)&amp;CHAR(10)&amp;"Je suis "&amp;'Paramètres'!$B$5&amp;", à la "&amp;'Paramètres'!$B$6&amp;" de "&amp;'Paramètres'!$B$7&amp;"."&amp;IF(I53=""," "," "&amp;I53&amp;" ")&amp;CHAR(10)&amp;CHAR(10)&amp;IFERROR(VLOOKUP(E53,Secteurs!$A$5:$C$16,3,FALSE),Secteurs!$C$16)&amp;CHAR(10)&amp;CHAR(10)&amp;SUBSTITUTE('Paramètres'!$B$12,"{E}",D53)&amp;CHAR(10)&amp;CHAR(10)&amp;'Paramètres'!$B$13&amp;CHAR(10)&amp;CHAR(10)&amp;"Bien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3" s="7">
        <f>IF(OR(B53="",D53=""),"","Bonjour "&amp;B53&amp;","&amp;CHAR(10)&amp;CHAR(10)&amp;SUBSTITUTE('Paramètres'!$B$15,"{E}",D53)&amp;CHAR(10)&amp;CHAR(10)&amp;"Bien cordialement,"&amp;CHAR(10)&amp;'Paramètres'!$B$5)</f>
        <v/>
      </c>
      <c r="N53" s="7" t="inlineStr">
        <is>
          <t>À compléter</t>
        </is>
      </c>
      <c r="O53" s="8" t="n"/>
      <c r="P53" s="8">
        <f>IF(O53="","",O53+7)</f>
        <v/>
      </c>
      <c r="Q53" s="7" t="n"/>
    </row>
    <row r="54">
      <c r="A54" s="9" t="n">
        <v>50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inlineStr">
        <is>
          <t>A</t>
        </is>
      </c>
      <c r="K54" s="9">
        <f>IF(OR(B54="",D54=""),"",IF(J54="B",B54&amp;", un financement pour "&amp;IFERROR(VLOOKUP(E54,Secteurs!$A$5:$C$16,2,FALSE),"vos projets"),D54&amp;" : un financement pour vos prochains équipements"))</f>
        <v/>
      </c>
      <c r="L54" s="9">
        <f>IF(OR(B54="",D54=""),"","Bonjour "&amp;B54&amp;","&amp;CHAR(10)&amp;CHAR(10)&amp;"Je suis "&amp;'Paramètres'!$B$5&amp;", à la "&amp;'Paramètres'!$B$6&amp;" de "&amp;'Paramètres'!$B$7&amp;"."&amp;IF(I54=""," "," "&amp;I54&amp;" ")&amp;CHAR(10)&amp;CHAR(10)&amp;IFERROR(VLOOKUP(E54,Secteurs!$A$5:$C$16,3,FALSE),Secteurs!$C$16)&amp;CHAR(10)&amp;CHAR(10)&amp;SUBSTITUTE('Paramètres'!$B$12,"{E}",D54)&amp;CHAR(10)&amp;CHAR(10)&amp;'Paramètres'!$B$13&amp;CHAR(10)&amp;CHAR(10)&amp;"Bien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4" s="9">
        <f>IF(OR(B54="",D54=""),"","Bonjour "&amp;B54&amp;","&amp;CHAR(10)&amp;CHAR(10)&amp;SUBSTITUTE('Paramètres'!$B$15,"{E}",D54)&amp;CHAR(10)&amp;CHAR(10)&amp;"Bien cordialement,"&amp;CHAR(10)&amp;'Paramètres'!$B$5)</f>
        <v/>
      </c>
      <c r="N54" s="9" t="inlineStr">
        <is>
          <t>À compléter</t>
        </is>
      </c>
      <c r="O54" s="10" t="n"/>
      <c r="P54" s="10">
        <f>IF(O54="","",O54+7)</f>
        <v/>
      </c>
      <c r="Q54" s="9" t="n"/>
    </row>
    <row r="55">
      <c r="A55" s="7" t="n">
        <v>51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inlineStr">
        <is>
          <t>A</t>
        </is>
      </c>
      <c r="K55" s="7">
        <f>IF(OR(B55="",D55=""),"",IF(J55="B",B55&amp;", un financement pour "&amp;IFERROR(VLOOKUP(E55,Secteurs!$A$5:$C$16,2,FALSE),"vos projets"),D55&amp;" : un financement pour vos prochains équipements"))</f>
        <v/>
      </c>
      <c r="L55" s="7">
        <f>IF(OR(B55="",D55=""),"","Bonjour "&amp;B55&amp;","&amp;CHAR(10)&amp;CHAR(10)&amp;"Je suis "&amp;'Paramètres'!$B$5&amp;", à la "&amp;'Paramètres'!$B$6&amp;" de "&amp;'Paramètres'!$B$7&amp;"."&amp;IF(I55=""," "," "&amp;I55&amp;" ")&amp;CHAR(10)&amp;CHAR(10)&amp;IFERROR(VLOOKUP(E55,Secteurs!$A$5:$C$16,3,FALSE),Secteurs!$C$16)&amp;CHAR(10)&amp;CHAR(10)&amp;SUBSTITUTE('Paramètres'!$B$12,"{E}",D55)&amp;CHAR(10)&amp;CHAR(10)&amp;'Paramètres'!$B$13&amp;CHAR(10)&amp;CHAR(10)&amp;"Bien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5" s="7">
        <f>IF(OR(B55="",D55=""),"","Bonjour "&amp;B55&amp;","&amp;CHAR(10)&amp;CHAR(10)&amp;SUBSTITUTE('Paramètres'!$B$15,"{E}",D55)&amp;CHAR(10)&amp;CHAR(10)&amp;"Bien cordialement,"&amp;CHAR(10)&amp;'Paramètres'!$B$5)</f>
        <v/>
      </c>
      <c r="N55" s="7" t="inlineStr">
        <is>
          <t>À compléter</t>
        </is>
      </c>
      <c r="O55" s="8" t="n"/>
      <c r="P55" s="8">
        <f>IF(O55="","",O55+7)</f>
        <v/>
      </c>
      <c r="Q55" s="7" t="n"/>
    </row>
    <row r="56">
      <c r="A56" s="9" t="n">
        <v>52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inlineStr">
        <is>
          <t>A</t>
        </is>
      </c>
      <c r="K56" s="9">
        <f>IF(OR(B56="",D56=""),"",IF(J56="B",B56&amp;", un financement pour "&amp;IFERROR(VLOOKUP(E56,Secteurs!$A$5:$C$16,2,FALSE),"vos projets"),D56&amp;" : un financement pour vos prochains équipements"))</f>
        <v/>
      </c>
      <c r="L56" s="9">
        <f>IF(OR(B56="",D56=""),"","Bonjour "&amp;B56&amp;","&amp;CHAR(10)&amp;CHAR(10)&amp;"Je suis "&amp;'Paramètres'!$B$5&amp;", à la "&amp;'Paramètres'!$B$6&amp;" de "&amp;'Paramètres'!$B$7&amp;"."&amp;IF(I56=""," "," "&amp;I56&amp;" ")&amp;CHAR(10)&amp;CHAR(10)&amp;IFERROR(VLOOKUP(E56,Secteurs!$A$5:$C$16,3,FALSE),Secteurs!$C$16)&amp;CHAR(10)&amp;CHAR(10)&amp;SUBSTITUTE('Paramètres'!$B$12,"{E}",D56)&amp;CHAR(10)&amp;CHAR(10)&amp;'Paramètres'!$B$13&amp;CHAR(10)&amp;CHAR(10)&amp;"Bien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6" s="9">
        <f>IF(OR(B56="",D56=""),"","Bonjour "&amp;B56&amp;","&amp;CHAR(10)&amp;CHAR(10)&amp;SUBSTITUTE('Paramètres'!$B$15,"{E}",D56)&amp;CHAR(10)&amp;CHAR(10)&amp;"Bien cordialement,"&amp;CHAR(10)&amp;'Paramètres'!$B$5)</f>
        <v/>
      </c>
      <c r="N56" s="9" t="inlineStr">
        <is>
          <t>À compléter</t>
        </is>
      </c>
      <c r="O56" s="10" t="n"/>
      <c r="P56" s="10">
        <f>IF(O56="","",O56+7)</f>
        <v/>
      </c>
      <c r="Q56" s="9" t="n"/>
    </row>
    <row r="57">
      <c r="A57" s="7" t="n">
        <v>53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inlineStr">
        <is>
          <t>A</t>
        </is>
      </c>
      <c r="K57" s="7">
        <f>IF(OR(B57="",D57=""),"",IF(J57="B",B57&amp;", un financement pour "&amp;IFERROR(VLOOKUP(E57,Secteurs!$A$5:$C$16,2,FALSE),"vos projets"),D57&amp;" : un financement pour vos prochains équipements"))</f>
        <v/>
      </c>
      <c r="L57" s="7">
        <f>IF(OR(B57="",D57=""),"","Bonjour "&amp;B57&amp;","&amp;CHAR(10)&amp;CHAR(10)&amp;"Je suis "&amp;'Paramètres'!$B$5&amp;", à la "&amp;'Paramètres'!$B$6&amp;" de "&amp;'Paramètres'!$B$7&amp;"."&amp;IF(I57=""," "," "&amp;I57&amp;" ")&amp;CHAR(10)&amp;CHAR(10)&amp;IFERROR(VLOOKUP(E57,Secteurs!$A$5:$C$16,3,FALSE),Secteurs!$C$16)&amp;CHAR(10)&amp;CHAR(10)&amp;SUBSTITUTE('Paramètres'!$B$12,"{E}",D57)&amp;CHAR(10)&amp;CHAR(10)&amp;'Paramètres'!$B$13&amp;CHAR(10)&amp;CHAR(10)&amp;"Bien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7" s="7">
        <f>IF(OR(B57="",D57=""),"","Bonjour "&amp;B57&amp;","&amp;CHAR(10)&amp;CHAR(10)&amp;SUBSTITUTE('Paramètres'!$B$15,"{E}",D57)&amp;CHAR(10)&amp;CHAR(10)&amp;"Bien cordialement,"&amp;CHAR(10)&amp;'Paramètres'!$B$5)</f>
        <v/>
      </c>
      <c r="N57" s="7" t="inlineStr">
        <is>
          <t>À compléter</t>
        </is>
      </c>
      <c r="O57" s="8" t="n"/>
      <c r="P57" s="8">
        <f>IF(O57="","",O57+7)</f>
        <v/>
      </c>
      <c r="Q57" s="7" t="n"/>
    </row>
    <row r="58">
      <c r="A58" s="9" t="n">
        <v>54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A</t>
        </is>
      </c>
      <c r="K58" s="9">
        <f>IF(OR(B58="",D58=""),"",IF(J58="B",B58&amp;", un financement pour "&amp;IFERROR(VLOOKUP(E58,Secteurs!$A$5:$C$16,2,FALSE),"vos projets"),D58&amp;" : un financement pour vos prochains équipements"))</f>
        <v/>
      </c>
      <c r="L58" s="9">
        <f>IF(OR(B58="",D58=""),"","Bonjour "&amp;B58&amp;","&amp;CHAR(10)&amp;CHAR(10)&amp;"Je suis "&amp;'Paramètres'!$B$5&amp;", à la "&amp;'Paramètres'!$B$6&amp;" de "&amp;'Paramètres'!$B$7&amp;"."&amp;IF(I58=""," "," "&amp;I58&amp;" ")&amp;CHAR(10)&amp;CHAR(10)&amp;IFERROR(VLOOKUP(E58,Secteurs!$A$5:$C$16,3,FALSE),Secteurs!$C$16)&amp;CHAR(10)&amp;CHAR(10)&amp;SUBSTITUTE('Paramètres'!$B$12,"{E}",D58)&amp;CHAR(10)&amp;CHAR(10)&amp;'Paramètres'!$B$13&amp;CHAR(10)&amp;CHAR(10)&amp;"Bien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8" s="9">
        <f>IF(OR(B58="",D58=""),"","Bonjour "&amp;B58&amp;","&amp;CHAR(10)&amp;CHAR(10)&amp;SUBSTITUTE('Paramètres'!$B$15,"{E}",D58)&amp;CHAR(10)&amp;CHAR(10)&amp;"Bien cordialement,"&amp;CHAR(10)&amp;'Paramètres'!$B$5)</f>
        <v/>
      </c>
      <c r="N58" s="9" t="inlineStr">
        <is>
          <t>À compléter</t>
        </is>
      </c>
      <c r="O58" s="10" t="n"/>
      <c r="P58" s="10">
        <f>IF(O58="","",O58+7)</f>
        <v/>
      </c>
      <c r="Q58" s="9" t="n"/>
    </row>
    <row r="59">
      <c r="A59" s="7" t="n">
        <v>55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inlineStr">
        <is>
          <t>A</t>
        </is>
      </c>
      <c r="K59" s="7">
        <f>IF(OR(B59="",D59=""),"",IF(J59="B",B59&amp;", un financement pour "&amp;IFERROR(VLOOKUP(E59,Secteurs!$A$5:$C$16,2,FALSE),"vos projets"),D59&amp;" : un financement pour vos prochains équipements"))</f>
        <v/>
      </c>
      <c r="L59" s="7">
        <f>IF(OR(B59="",D59=""),"","Bonjour "&amp;B59&amp;","&amp;CHAR(10)&amp;CHAR(10)&amp;"Je suis "&amp;'Paramètres'!$B$5&amp;", à la "&amp;'Paramètres'!$B$6&amp;" de "&amp;'Paramètres'!$B$7&amp;"."&amp;IF(I59=""," "," "&amp;I59&amp;" ")&amp;CHAR(10)&amp;CHAR(10)&amp;IFERROR(VLOOKUP(E59,Secteurs!$A$5:$C$16,3,FALSE),Secteurs!$C$16)&amp;CHAR(10)&amp;CHAR(10)&amp;SUBSTITUTE('Paramètres'!$B$12,"{E}",D59)&amp;CHAR(10)&amp;CHAR(10)&amp;'Paramètres'!$B$13&amp;CHAR(10)&amp;CHAR(10)&amp;"Bien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59" s="7">
        <f>IF(OR(B59="",D59=""),"","Bonjour "&amp;B59&amp;","&amp;CHAR(10)&amp;CHAR(10)&amp;SUBSTITUTE('Paramètres'!$B$15,"{E}",D59)&amp;CHAR(10)&amp;CHAR(10)&amp;"Bien cordialement,"&amp;CHAR(10)&amp;'Paramètres'!$B$5)</f>
        <v/>
      </c>
      <c r="N59" s="7" t="inlineStr">
        <is>
          <t>À compléter</t>
        </is>
      </c>
      <c r="O59" s="8" t="n"/>
      <c r="P59" s="8">
        <f>IF(O59="","",O59+7)</f>
        <v/>
      </c>
      <c r="Q59" s="7" t="n"/>
    </row>
    <row r="60">
      <c r="A60" s="9" t="n">
        <v>56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A</t>
        </is>
      </c>
      <c r="K60" s="9">
        <f>IF(OR(B60="",D60=""),"",IF(J60="B",B60&amp;", un financement pour "&amp;IFERROR(VLOOKUP(E60,Secteurs!$A$5:$C$16,2,FALSE),"vos projets"),D60&amp;" : un financement pour vos prochains équipements"))</f>
        <v/>
      </c>
      <c r="L60" s="9">
        <f>IF(OR(B60="",D60=""),"","Bonjour "&amp;B60&amp;","&amp;CHAR(10)&amp;CHAR(10)&amp;"Je suis "&amp;'Paramètres'!$B$5&amp;", à la "&amp;'Paramètres'!$B$6&amp;" de "&amp;'Paramètres'!$B$7&amp;"."&amp;IF(I60=""," "," "&amp;I60&amp;" ")&amp;CHAR(10)&amp;CHAR(10)&amp;IFERROR(VLOOKUP(E60,Secteurs!$A$5:$C$16,3,FALSE),Secteurs!$C$16)&amp;CHAR(10)&amp;CHAR(10)&amp;SUBSTITUTE('Paramètres'!$B$12,"{E}",D60)&amp;CHAR(10)&amp;CHAR(10)&amp;'Paramètres'!$B$13&amp;CHAR(10)&amp;CHAR(10)&amp;"Bien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0" s="9">
        <f>IF(OR(B60="",D60=""),"","Bonjour "&amp;B60&amp;","&amp;CHAR(10)&amp;CHAR(10)&amp;SUBSTITUTE('Paramètres'!$B$15,"{E}",D60)&amp;CHAR(10)&amp;CHAR(10)&amp;"Bien cordialement,"&amp;CHAR(10)&amp;'Paramètres'!$B$5)</f>
        <v/>
      </c>
      <c r="N60" s="9" t="inlineStr">
        <is>
          <t>À compléter</t>
        </is>
      </c>
      <c r="O60" s="10" t="n"/>
      <c r="P60" s="10">
        <f>IF(O60="","",O60+7)</f>
        <v/>
      </c>
      <c r="Q60" s="9" t="n"/>
    </row>
    <row r="61">
      <c r="A61" s="7" t="n">
        <v>57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inlineStr">
        <is>
          <t>A</t>
        </is>
      </c>
      <c r="K61" s="7">
        <f>IF(OR(B61="",D61=""),"",IF(J61="B",B61&amp;", un financement pour "&amp;IFERROR(VLOOKUP(E61,Secteurs!$A$5:$C$16,2,FALSE),"vos projets"),D61&amp;" : un financement pour vos prochains équipements"))</f>
        <v/>
      </c>
      <c r="L61" s="7">
        <f>IF(OR(B61="",D61=""),"","Bonjour "&amp;B61&amp;","&amp;CHAR(10)&amp;CHAR(10)&amp;"Je suis "&amp;'Paramètres'!$B$5&amp;", à la "&amp;'Paramètres'!$B$6&amp;" de "&amp;'Paramètres'!$B$7&amp;"."&amp;IF(I61=""," "," "&amp;I61&amp;" ")&amp;CHAR(10)&amp;CHAR(10)&amp;IFERROR(VLOOKUP(E61,Secteurs!$A$5:$C$16,3,FALSE),Secteurs!$C$16)&amp;CHAR(10)&amp;CHAR(10)&amp;SUBSTITUTE('Paramètres'!$B$12,"{E}",D61)&amp;CHAR(10)&amp;CHAR(10)&amp;'Paramètres'!$B$13&amp;CHAR(10)&amp;CHAR(10)&amp;"Bien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1" s="7">
        <f>IF(OR(B61="",D61=""),"","Bonjour "&amp;B61&amp;","&amp;CHAR(10)&amp;CHAR(10)&amp;SUBSTITUTE('Paramètres'!$B$15,"{E}",D61)&amp;CHAR(10)&amp;CHAR(10)&amp;"Bien cordialement,"&amp;CHAR(10)&amp;'Paramètres'!$B$5)</f>
        <v/>
      </c>
      <c r="N61" s="7" t="inlineStr">
        <is>
          <t>À compléter</t>
        </is>
      </c>
      <c r="O61" s="8" t="n"/>
      <c r="P61" s="8">
        <f>IF(O61="","",O61+7)</f>
        <v/>
      </c>
      <c r="Q61" s="7" t="n"/>
    </row>
    <row r="62">
      <c r="A62" s="9" t="n">
        <v>58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A</t>
        </is>
      </c>
      <c r="K62" s="9">
        <f>IF(OR(B62="",D62=""),"",IF(J62="B",B62&amp;", un financement pour "&amp;IFERROR(VLOOKUP(E62,Secteurs!$A$5:$C$16,2,FALSE),"vos projets"),D62&amp;" : un financement pour vos prochains équipements"))</f>
        <v/>
      </c>
      <c r="L62" s="9">
        <f>IF(OR(B62="",D62=""),"","Bonjour "&amp;B62&amp;","&amp;CHAR(10)&amp;CHAR(10)&amp;"Je suis "&amp;'Paramètres'!$B$5&amp;", à la "&amp;'Paramètres'!$B$6&amp;" de "&amp;'Paramètres'!$B$7&amp;"."&amp;IF(I62=""," "," "&amp;I62&amp;" ")&amp;CHAR(10)&amp;CHAR(10)&amp;IFERROR(VLOOKUP(E62,Secteurs!$A$5:$C$16,3,FALSE),Secteurs!$C$16)&amp;CHAR(10)&amp;CHAR(10)&amp;SUBSTITUTE('Paramètres'!$B$12,"{E}",D62)&amp;CHAR(10)&amp;CHAR(10)&amp;'Paramètres'!$B$13&amp;CHAR(10)&amp;CHAR(10)&amp;"Bien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2" s="9">
        <f>IF(OR(B62="",D62=""),"","Bonjour "&amp;B62&amp;","&amp;CHAR(10)&amp;CHAR(10)&amp;SUBSTITUTE('Paramètres'!$B$15,"{E}",D62)&amp;CHAR(10)&amp;CHAR(10)&amp;"Bien cordialement,"&amp;CHAR(10)&amp;'Paramètres'!$B$5)</f>
        <v/>
      </c>
      <c r="N62" s="9" t="inlineStr">
        <is>
          <t>À compléter</t>
        </is>
      </c>
      <c r="O62" s="10" t="n"/>
      <c r="P62" s="10">
        <f>IF(O62="","",O62+7)</f>
        <v/>
      </c>
      <c r="Q62" s="9" t="n"/>
    </row>
    <row r="63">
      <c r="A63" s="7" t="n">
        <v>59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inlineStr">
        <is>
          <t>A</t>
        </is>
      </c>
      <c r="K63" s="7">
        <f>IF(OR(B63="",D63=""),"",IF(J63="B",B63&amp;", un financement pour "&amp;IFERROR(VLOOKUP(E63,Secteurs!$A$5:$C$16,2,FALSE),"vos projets"),D63&amp;" : un financement pour vos prochains équipements"))</f>
        <v/>
      </c>
      <c r="L63" s="7">
        <f>IF(OR(B63="",D63=""),"","Bonjour "&amp;B63&amp;","&amp;CHAR(10)&amp;CHAR(10)&amp;"Je suis "&amp;'Paramètres'!$B$5&amp;", à la "&amp;'Paramètres'!$B$6&amp;" de "&amp;'Paramètres'!$B$7&amp;"."&amp;IF(I63=""," "," "&amp;I63&amp;" ")&amp;CHAR(10)&amp;CHAR(10)&amp;IFERROR(VLOOKUP(E63,Secteurs!$A$5:$C$16,3,FALSE),Secteurs!$C$16)&amp;CHAR(10)&amp;CHAR(10)&amp;SUBSTITUTE('Paramètres'!$B$12,"{E}",D63)&amp;CHAR(10)&amp;CHAR(10)&amp;'Paramètres'!$B$13&amp;CHAR(10)&amp;CHAR(10)&amp;"Bien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3" s="7">
        <f>IF(OR(B63="",D63=""),"","Bonjour "&amp;B63&amp;","&amp;CHAR(10)&amp;CHAR(10)&amp;SUBSTITUTE('Paramètres'!$B$15,"{E}",D63)&amp;CHAR(10)&amp;CHAR(10)&amp;"Bien cordialement,"&amp;CHAR(10)&amp;'Paramètres'!$B$5)</f>
        <v/>
      </c>
      <c r="N63" s="7" t="inlineStr">
        <is>
          <t>À compléter</t>
        </is>
      </c>
      <c r="O63" s="8" t="n"/>
      <c r="P63" s="8">
        <f>IF(O63="","",O63+7)</f>
        <v/>
      </c>
      <c r="Q63" s="7" t="n"/>
    </row>
    <row r="64">
      <c r="A64" s="9" t="n">
        <v>60</v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A</t>
        </is>
      </c>
      <c r="K64" s="9">
        <f>IF(OR(B64="",D64=""),"",IF(J64="B",B64&amp;", un financement pour "&amp;IFERROR(VLOOKUP(E64,Secteurs!$A$5:$C$16,2,FALSE),"vos projets"),D64&amp;" : un financement pour vos prochains équipements"))</f>
        <v/>
      </c>
      <c r="L64" s="9">
        <f>IF(OR(B64="",D64=""),"","Bonjour "&amp;B64&amp;","&amp;CHAR(10)&amp;CHAR(10)&amp;"Je suis "&amp;'Paramètres'!$B$5&amp;", à la "&amp;'Paramètres'!$B$6&amp;" de "&amp;'Paramètres'!$B$7&amp;"."&amp;IF(I64=""," "," "&amp;I64&amp;" ")&amp;CHAR(10)&amp;CHAR(10)&amp;IFERROR(VLOOKUP(E64,Secteurs!$A$5:$C$16,3,FALSE),Secteurs!$C$16)&amp;CHAR(10)&amp;CHAR(10)&amp;SUBSTITUTE('Paramètres'!$B$12,"{E}",D64)&amp;CHAR(10)&amp;CHAR(10)&amp;'Paramètres'!$B$13&amp;CHAR(10)&amp;CHAR(10)&amp;"Bien cordialement,"&amp;CHAR(10)&amp;'Paramètres'!$B$5&amp;IF('Paramètres'!$B$8="",""," "&amp;'Paramètres'!$B$8)&amp;CHAR(10)&amp;'Paramètres'!$B$6&amp;", "&amp;'Paramètres'!$B$7&amp;IF('Paramètres'!$B$9="","",CHAR(10)&amp;'Paramètres'!$B$9)&amp;IF('Paramètres'!$B$10="","",CHAR(10)&amp;'Paramètres'!$B$10)&amp;CHAR(10)&amp;CHAR(10)&amp;'Paramètres'!$B$14)</f>
        <v/>
      </c>
      <c r="M64" s="9">
        <f>IF(OR(B64="",D64=""),"","Bonjour "&amp;B64&amp;","&amp;CHAR(10)&amp;CHAR(10)&amp;SUBSTITUTE('Paramètres'!$B$15,"{E}",D64)&amp;CHAR(10)&amp;CHAR(10)&amp;"Bien cordialement,"&amp;CHAR(10)&amp;'Paramètres'!$B$5)</f>
        <v/>
      </c>
      <c r="N64" s="9" t="inlineStr">
        <is>
          <t>À compléter</t>
        </is>
      </c>
      <c r="O64" s="10" t="n"/>
      <c r="P64" s="10">
        <f>IF(O64="","",O64+7)</f>
        <v/>
      </c>
      <c r="Q64" s="9" t="n"/>
    </row>
  </sheetData>
  <dataValidations count="4">
    <dataValidation sqref="E5:E64" showDropDown="0" showInputMessage="0" showErrorMessage="0" allowBlank="1" type="list">
      <formula1>=Secteurs!$A$5:$A$16</formula1>
    </dataValidation>
    <dataValidation sqref="H5:H64" showDropDown="0" showInputMessage="0" showErrorMessage="0" allowBlank="1" type="list">
      <formula1>"Client de la banque,Contact recommandé,Rencontré en rendez-vous ou événement,Contact à vérifier"</formula1>
    </dataValidation>
    <dataValidation sqref="J5:J64" showDropDown="0" showInputMessage="0" showErrorMessage="0" allowBlank="1" type="list">
      <formula1>"A,B"</formula1>
    </dataValidation>
    <dataValidation sqref="N5:N64" showDropDown="0" showInputMessage="0" showErrorMessage="0" allowBlank="1" type="list">
      <formula1>"À compléter,À relire,Validé,Envoyé,Relancé,Rendez-vous pris,Pas intéressé,Ne plus contacter"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95" customWidth="1" min="3" max="3"/>
  </cols>
  <sheetData>
    <row r="1">
      <c r="A1" s="1" t="inlineStr">
        <is>
          <t>Paragraphes par secteur</t>
        </is>
      </c>
    </row>
    <row r="2">
      <c r="A2" s="2" t="inlineStr">
        <is>
          <t>Un paragraphe par secteur, repris tel quel dans l'e-mail. Modifier ici modifie tous les e-mails du secteur.</t>
        </is>
      </c>
    </row>
    <row r="4">
      <c r="A4" s="3" t="inlineStr">
        <is>
          <t>Secteur</t>
        </is>
      </c>
      <c r="B4" s="3" t="inlineStr">
        <is>
          <t>Fin de l'objet B</t>
        </is>
      </c>
      <c r="C4" s="3" t="inlineStr">
        <is>
          <t>Paragraphe sectoriel</t>
        </is>
      </c>
    </row>
    <row r="5">
      <c r="A5" s="7" t="inlineStr">
        <is>
          <t>BTP et génie civil</t>
        </is>
      </c>
      <c r="B5" s="7" t="inlineStr">
        <is>
          <t>vos chantiers</t>
        </is>
      </c>
      <c r="C5" s="7" t="inlineStr">
        <is>
          <t>Dans le BTP, décrocher un chantier dépend souvent du matériel disponible : engins, bétonnières, échafaudages, véhicules de chantier. Les payer comptant immobilise la trésorerie dont vous avez besoin pour lancer les travaux.</t>
        </is>
      </c>
    </row>
    <row r="6">
      <c r="A6" s="7" t="inlineStr">
        <is>
          <t>Transport et logistique</t>
        </is>
      </c>
      <c r="B6" s="7" t="inlineStr">
        <is>
          <t>votre flotte</t>
        </is>
      </c>
      <c r="C6" s="7" t="inlineStr">
        <is>
          <t>Dans le transport, chaque véhicule en plus, ou remplacé à temps, se traduit en tournées assurées et en contrats tenus. Renouveler ou agrandir une flotte au comptant pèse lourd sur la trésorerie d'une entreprise en croissance.</t>
        </is>
      </c>
    </row>
    <row r="7">
      <c r="A7" s="7" t="inlineStr">
        <is>
          <t>Agro-industrie et transformation</t>
        </is>
      </c>
      <c r="B7" s="7" t="inlineStr">
        <is>
          <t>votre production</t>
        </is>
      </c>
      <c r="C7" s="7" t="inlineStr">
        <is>
          <t>Dans la transformation, la capacité de production tient aux machines : décortiqueuses, broyeurs, séchoirs, lignes de conditionnement, chambres froides. Une machine plus performante, c'est plus de volume traité et moins de pertes.</t>
        </is>
      </c>
    </row>
    <row r="8">
      <c r="A8" s="7" t="inlineStr">
        <is>
          <t>Commerce et distribution</t>
        </is>
      </c>
      <c r="B8" s="7" t="inlineStr">
        <is>
          <t>votre activité</t>
        </is>
      </c>
      <c r="C8" s="7" t="inlineStr">
        <is>
          <t>Dans le commerce, mieux s'équiper veut souvent dire vendre plus : un véhicule de livraison, des chambres froides, du rayonnage, un système d'encaissement. Ces achats arrivent souvent au moment où le stock mobilise déjà la trésorerie.</t>
        </is>
      </c>
    </row>
    <row r="9">
      <c r="A9" s="7" t="inlineStr">
        <is>
          <t>Santé (clinique, laboratoire, cabinet)</t>
        </is>
      </c>
      <c r="B9" s="7" t="inlineStr">
        <is>
          <t>votre plateau technique</t>
        </is>
      </c>
      <c r="C9" s="7" t="inlineStr">
        <is>
          <t>Dans la santé, la qualité du plateau technique fait la différence pour vos patients : appareils d'imagerie, automates de laboratoire, mobilier médical. Ce sont des investissements lourds, qu'il est plus sain d'étaler que de régler en une fois.</t>
        </is>
      </c>
    </row>
    <row r="10">
      <c r="A10" s="7" t="inlineStr">
        <is>
          <t>Hôtellerie et restauration</t>
        </is>
      </c>
      <c r="B10" s="7" t="inlineStr">
        <is>
          <t>votre établissement</t>
        </is>
      </c>
      <c r="C10" s="7" t="inlineStr">
        <is>
          <t>Dans l'hôtellerie et la restauration, l'équipement se voit et se vit tous les jours : cuisine professionnelle, chambres froides, climatisation, groupe électrogène. Le moderniser au bon moment fait revenir les clients.</t>
        </is>
      </c>
    </row>
    <row r="11">
      <c r="A11" s="7" t="inlineStr">
        <is>
          <t>Industrie et production</t>
        </is>
      </c>
      <c r="B11" s="7" t="inlineStr">
        <is>
          <t>votre outil de production</t>
        </is>
      </c>
      <c r="C11" s="7" t="inlineStr">
        <is>
          <t>Dans l'industrie, la compétitivité passe par l'outil de production : une machine plus récente, une nouvelle ligne, un groupe électrogène pour ne plus subir les coupures. Ces projets se financent mieux sur la durée qu'au comptant.</t>
        </is>
      </c>
    </row>
    <row r="12">
      <c r="A12" s="7" t="inlineStr">
        <is>
          <t>Imprimerie et communication</t>
        </is>
      </c>
      <c r="B12" s="7" t="inlineStr">
        <is>
          <t>votre atelier</t>
        </is>
      </c>
      <c r="C12" s="7" t="inlineStr">
        <is>
          <t>Dans l'impression et la communication, une machine récente, c'est des délais tenus et des commandes que l'on n'a plus à refuser. Le matériel coûte cher et se renouvelle vite : autant en étaler le coût sur sa durée d'utilisation.</t>
        </is>
      </c>
    </row>
    <row r="13">
      <c r="A13" s="7" t="inlineStr">
        <is>
          <t>Services numériques et télécoms</t>
        </is>
      </c>
      <c r="B13" s="7" t="inlineStr">
        <is>
          <t>votre infrastructure</t>
        </is>
      </c>
      <c r="C13" s="7" t="inlineStr">
        <is>
          <t>Dans le numérique, l'infrastructure suit la croissance : serveurs, matériel réseau, postes de travail, onduleurs. Financer ce matériel sur la durée garde votre trésorerie disponible pour recruter et développer vos offres.</t>
        </is>
      </c>
    </row>
    <row r="14">
      <c r="A14" s="7" t="inlineStr">
        <is>
          <t>Agriculture et élevage</t>
        </is>
      </c>
      <c r="B14" s="7" t="inlineStr">
        <is>
          <t>votre exploitation</t>
        </is>
      </c>
      <c r="C14" s="7" t="inlineStr">
        <is>
          <t>En agriculture, un tracteur, un système d'irrigation ou un bâtiment d'élevage change le rendement d'une exploitation. Ces achats tombent rarement au moment où la récolte a rempli la caisse.</t>
        </is>
      </c>
    </row>
    <row r="15">
      <c r="A15" s="7" t="inlineStr">
        <is>
          <t>Éducation et formation</t>
        </is>
      </c>
      <c r="B15" s="7" t="inlineStr">
        <is>
          <t>votre établissement</t>
        </is>
      </c>
      <c r="C15" s="7" t="inlineStr">
        <is>
          <t>Dans l'enseignement privé, l'équipement compte pour les familles : salles informatiques, laboratoires, mobilier, transport scolaire. Étaler ces investissements évite de les faire attendre jusqu'à la rentrée suivante.</t>
        </is>
      </c>
    </row>
    <row r="16">
      <c r="A16" s="7" t="inlineStr">
        <is>
          <t>Autre secteur</t>
        </is>
      </c>
      <c r="B16" s="7" t="inlineStr">
        <is>
          <t>vos projets</t>
        </is>
      </c>
      <c r="C16" s="7" t="inlineStr">
        <is>
          <t>Un nouvel équipement, c'est souvent le moyen le plus direct de gagner en capacité ou en efficacité. Le payer comptant immobilise pourtant une trésorerie dont l'entreprise a besoin au quotidien.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Paramètres communs</t>
        </is>
      </c>
    </row>
    <row r="2">
      <c r="A2" s="2" t="inlineStr">
        <is>
          <t>Ces cellules alimentent tous les e-mails. Compléter la signature avant la relecture.</t>
        </is>
      </c>
    </row>
    <row r="4">
      <c r="A4" s="3" t="inlineStr">
        <is>
          <t>Paramètre</t>
        </is>
      </c>
      <c r="B4" s="3" t="inlineStr">
        <is>
          <t>Valeur</t>
        </is>
      </c>
    </row>
    <row r="5">
      <c r="A5" s="11" t="inlineStr">
        <is>
          <t>Prénom du signataire</t>
        </is>
      </c>
      <c r="B5" s="7" t="inlineStr">
        <is>
          <t>Patrick</t>
        </is>
      </c>
    </row>
    <row r="6">
      <c r="A6" s="11" t="inlineStr">
        <is>
          <t>Service</t>
        </is>
      </c>
      <c r="B6" s="7" t="inlineStr">
        <is>
          <t>Banque des Entreprises</t>
        </is>
      </c>
    </row>
    <row r="7">
      <c r="A7" s="11" t="inlineStr">
        <is>
          <t>Banque</t>
        </is>
      </c>
      <c r="B7" s="7" t="inlineStr">
        <is>
          <t>Coris Bank International Côte d'Ivoire</t>
        </is>
      </c>
    </row>
    <row r="8">
      <c r="A8" s="11" t="inlineStr">
        <is>
          <t>Nom du signataire</t>
        </is>
      </c>
      <c r="B8" s="7" t="inlineStr"/>
    </row>
    <row r="9">
      <c r="A9" s="11" t="inlineStr">
        <is>
          <t>Téléphone direct</t>
        </is>
      </c>
      <c r="B9" s="7" t="inlineStr"/>
    </row>
    <row r="10">
      <c r="A10" s="11" t="inlineStr">
        <is>
          <t>E-mail du signataire</t>
        </is>
      </c>
      <c r="B10" s="7" t="inlineStr"/>
    </row>
    <row r="11">
      <c r="A11" s="11" t="inlineStr">
        <is>
          <t>(réservé)</t>
        </is>
      </c>
      <c r="B11" s="7" t="inlineStr"/>
    </row>
    <row r="12">
      <c r="A12" s="11" t="inlineStr">
        <is>
          <t>Paragraphe de l'offre ({E} = entreprise)</t>
        </is>
      </c>
      <c r="B12" s="7" t="inlineStr">
        <is>
          <t>Notre crédit d'investissement est fait pour cela : il permet à {E} de financer ses équipements sur le moyen terme, avec un remboursement étalé que nous construisons avec vous à partir de votre activité.</t>
        </is>
      </c>
    </row>
    <row r="13">
      <c r="A13" s="11" t="inlineStr">
        <is>
          <t>Proposition de rendez-vous</t>
        </is>
      </c>
      <c r="B13" s="7" t="inlineStr">
        <is>
          <t>Je vous propose un échange de vingt minutes, à votre bureau, à l'agence ou par téléphone, pour regarder votre projet et vous dire ce que nous pouvons financer. Seriez-vous disponible dans les deux prochaines semaines ?</t>
        </is>
      </c>
    </row>
    <row r="14">
      <c r="A14" s="11" t="inlineStr">
        <is>
          <t>Mention de fin</t>
        </is>
      </c>
      <c r="B14" s="7" t="inlineStr">
        <is>
          <t>Si vous préférez ne plus recevoir de message de ma part, répondez simplement « stop » : je ne vous écrirai plus.</t>
        </is>
      </c>
    </row>
    <row r="15">
      <c r="A15" s="11" t="inlineStr">
        <is>
          <t>Texte de la relance ({E} = entreprise)</t>
        </is>
      </c>
      <c r="B15" s="7" t="inlineStr">
        <is>
          <t>Je me permets de revenir vers vous au sujet du financement des équipements de {E}. Si un projet d'achat est prévu dans les prochains mois, vingt minutes suffisent pour voir ensemble ce que nous pouvons financer. Quel moment vous conviendrait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2026-10-26T09:55:56Z</dcterms:created>
  <dcterms:modified xmlns:dcterms="http://purl.org/dc/terms/" xmlns:xsi="http://www.w3.org/2001/XMLSchema-instance" xsi:type="dcterms:W3CDTF">2026-10-26T09:55:56Z</dcterms:modified>
</cp:coreProperties>
</file>