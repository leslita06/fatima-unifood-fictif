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uivi par jour" sheetId="2" state="visible" r:id="rId2"/>
    <sheet xmlns:r="http://schemas.openxmlformats.org/officeDocument/2006/relationships" name="Inscr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/mm"/>
    <numFmt numFmtId="166" formatCode="dd/mm/yyyy hh:mm"/>
  </numFmts>
  <fonts count="10">
    <font>
      <name val="Calibri"/>
      <family val="2"/>
      <color theme="1"/>
      <sz val="11"/>
      <scheme val="minor"/>
    </font>
    <font>
      <b val="1"/>
      <color rgb="000E5E4E"/>
      <sz val="16"/>
    </font>
    <font>
      <color rgb="006B7570"/>
    </font>
    <font>
      <i val="1"/>
      <color rgb="006B7570"/>
    </font>
    <font>
      <b val="1"/>
      <color rgb="00F28C28"/>
    </font>
    <font>
      <b val="1"/>
      <color rgb="00FFFFFF"/>
    </font>
    <font>
      <b val="1"/>
      <color rgb="0022302C"/>
    </font>
    <font>
      <b val="1"/>
    </font>
    <font>
      <b val="1"/>
      <color rgb="00B3123A"/>
    </font>
    <font>
      <b val="1"/>
      <color rgb="000E5E4E"/>
      <sz val="12"/>
    </font>
  </fonts>
  <fills count="5">
    <fill>
      <patternFill/>
    </fill>
    <fill>
      <patternFill patternType="gray125"/>
    </fill>
    <fill>
      <patternFill patternType="solid">
        <fgColor rgb="000E5E4E"/>
      </patternFill>
    </fill>
    <fill>
      <patternFill patternType="solid">
        <fgColor rgb="00FBF4E8"/>
      </patternFill>
    </fill>
    <fill>
      <patternFill patternType="solid">
        <fgColor rgb="00F28C28"/>
      </patternFill>
    </fill>
  </fills>
  <borders count="2">
    <border>
      <left/>
      <right/>
      <top/>
      <bottom/>
      <diagonal/>
    </border>
    <border>
      <left style="thin">
        <color rgb="00E5DCCB"/>
      </left>
      <right style="thin">
        <color rgb="00E5DCCB"/>
      </right>
      <top style="thin">
        <color rgb="00E5DCCB"/>
      </top>
      <bottom style="thin">
        <color rgb="00E5DCC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1" pivotButton="0" quotePrefix="0" xfId="0"/>
    <xf numFmtId="0" fontId="7" fillId="3" borderId="1" pivotButton="0" quotePrefix="0" xfId="0"/>
    <xf numFmtId="9" fontId="7" fillId="3" borderId="1" pivotButton="0" quotePrefix="0" xfId="0"/>
    <xf numFmtId="0" fontId="9" fillId="0" borderId="0" pivotButton="0" quotePrefix="0" xfId="0"/>
    <xf numFmtId="0" fontId="0" fillId="0" borderId="0" applyAlignment="1" pivotButton="0" quotePrefix="0" xfId="0">
      <alignment/>
    </xf>
    <xf numFmtId="0" fontId="5" fillId="2" borderId="1" applyAlignment="1" pivotButton="0" quotePrefix="0" xfId="0">
      <alignment wrapText="1"/>
    </xf>
    <xf numFmtId="165" fontId="0" fillId="3" borderId="1" pivotButton="0" quotePrefix="0" xfId="0"/>
    <xf numFmtId="0" fontId="0" fillId="3" borderId="1" pivotButton="0" quotePrefix="0" xfId="0"/>
    <xf numFmtId="9" fontId="0" fillId="3" borderId="1" pivotButton="0" quotePrefix="0" xfId="0"/>
    <xf numFmtId="165" fontId="0" fillId="0" borderId="1" pivotButton="0" quotePrefix="0" xfId="0"/>
    <xf numFmtId="0" fontId="5" fillId="4" borderId="1" applyAlignment="1" pivotButton="0" quotePrefix="0" xfId="0">
      <alignment vertical="center" wrapText="1"/>
    </xf>
    <xf numFmtId="166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B3123A"/>
      </font>
    </dxf>
    <dxf>
      <font>
        <b val="1"/>
        <color rgb="000E5E4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Présences annoncées : réel et trajectoire visée</a:t>
            </a:r>
          </a:p>
        </rich>
      </tx>
    </title>
    <plotArea>
      <lineChart>
        <grouping val="standard"/>
        <ser>
          <idx val="0"/>
          <order val="0"/>
          <tx>
            <strRef>
              <f>'Suivi par jour'!E1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'Suivi par jour'!$A$2:$A$54</f>
            </numRef>
          </cat>
          <val>
            <numRef>
              <f>'Suivi par jour'!$E$2:$E$54</f>
            </numRef>
          </val>
        </ser>
        <ser>
          <idx val="1"/>
          <order val="1"/>
          <tx>
            <strRef>
              <f>'Suivi par jour'!F1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'Suivi par jour'!$A$2:$A$54</f>
            </numRef>
          </cat>
          <val>
            <numRef>
              <f>'Suivi par jour'!$F$2:$F$54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Soirée de lancement de Gingembre Pétillant : suivi des inscriptions</t>
        </is>
      </c>
    </row>
    <row r="2">
      <c r="A2" s="2" t="inlineStr">
        <is>
          <t>Jeudi 10 décembre 2026, 18 h 30, terrasse sur la lagune, Cocody  |  Inscriptions avant le lundi 7 décembre</t>
        </is>
      </c>
    </row>
    <row r="3">
      <c r="A3" s="3" t="inlineStr">
        <is>
          <t>Dernière mise à jour depuis le formulaire :</t>
        </is>
      </c>
      <c r="C3" s="4" t="inlineStr">
        <is>
          <t>jamais</t>
        </is>
      </c>
    </row>
    <row r="5">
      <c r="A5" s="5" t="inlineStr">
        <is>
          <t>Indicateur</t>
        </is>
      </c>
      <c r="B5" s="5" t="inlineStr">
        <is>
          <t>Valeur</t>
        </is>
      </c>
      <c r="C5" s="5" t="inlineStr">
        <is>
          <t>Objectif</t>
        </is>
      </c>
      <c r="D5" s="5" t="inlineStr">
        <is>
          <t>Où on en est</t>
        </is>
      </c>
    </row>
    <row r="6">
      <c r="A6" s="6" t="inlineStr">
        <is>
          <t>Inscriptions reçues</t>
        </is>
      </c>
      <c r="B6" s="7">
        <f>COUNTA(Inscrits!$B$2:$B$1000)</f>
        <v/>
      </c>
      <c r="C6" s="7" t="inlineStr"/>
      <c r="D6" s="8" t="inlineStr"/>
    </row>
    <row r="7">
      <c r="A7" s="6" t="inlineStr">
        <is>
          <t>Présences annoncées (« Oui »)</t>
        </is>
      </c>
      <c r="B7" s="7">
        <f>COUNTIF(Inscrits!$I$2:$I$1000,"Oui")</f>
        <v/>
      </c>
      <c r="C7" s="7" t="n">
        <v>180</v>
      </c>
      <c r="D7" s="8">
        <f>IFERROR(B7/C7,0)</f>
        <v/>
      </c>
    </row>
    <row r="8">
      <c r="A8" s="6" t="inlineStr">
        <is>
          <t>Ne viendront pas (gardent le contact)</t>
        </is>
      </c>
      <c r="B8" s="7">
        <f>COUNTIF(Inscrits!$I$2:$I$1000,"Non")</f>
        <v/>
      </c>
      <c r="C8" s="7" t="inlineStr"/>
      <c r="D8" s="8" t="inlineStr"/>
    </row>
    <row r="9">
      <c r="A9" s="6" t="inlineStr">
        <is>
          <t>Confirmations envoyées (plan d'accès)</t>
        </is>
      </c>
      <c r="B9" s="7">
        <f>COUNTIF(Inscrits!$N$2:$N$1000,"Oui")</f>
        <v/>
      </c>
      <c r="C9" s="7">
        <f>B7</f>
        <v/>
      </c>
      <c r="D9" s="8">
        <f>IFERROR(B9/C9,0)</f>
        <v/>
      </c>
    </row>
    <row r="10">
      <c r="A10" s="6" t="inlineStr">
        <is>
          <t>Demandes d'interview (presse)</t>
        </is>
      </c>
      <c r="B10" s="7">
        <f>COUNTIF(Inscrits!$J$2:$J$1000,"?*")</f>
        <v/>
      </c>
      <c r="C10" s="7" t="n">
        <v>6</v>
      </c>
      <c r="D10" s="8">
        <f>IFERROR(B10/C10,0)</f>
        <v/>
      </c>
    </row>
    <row r="11">
      <c r="A11" s="6" t="inlineStr">
        <is>
          <t>Refus du droit à l'image (badge à signaler)</t>
        </is>
      </c>
      <c r="B11" s="7">
        <f>COUNTIF(Inscrits!$L$2:$L$1000,"Non")</f>
        <v/>
      </c>
      <c r="C11" s="7" t="inlineStr"/>
      <c r="D11" s="8" t="inlineStr"/>
    </row>
    <row r="13">
      <c r="A13" s="9" t="inlineStr">
        <is>
          <t>Alerte du plan (moins de 60 % de l'objectif au 4 décembre) :</t>
        </is>
      </c>
      <c r="C13" s="10">
        <f>IF(AND(TODAY()&gt;=DATE(2026,12,4),D7&lt;0.6),"ALERTE : relancer les invités par téléphone",IF(D7&gt;=1,"Objectif atteint","Pas d'alerte"))</f>
        <v/>
      </c>
    </row>
    <row r="15">
      <c r="A15" s="5" t="inlineStr">
        <is>
          <t>Profil</t>
        </is>
      </c>
      <c r="B15" s="5" t="inlineStr">
        <is>
          <t>Objectif</t>
        </is>
      </c>
      <c r="C15" s="5" t="inlineStr">
        <is>
          <t>Inscrits</t>
        </is>
      </c>
      <c r="D15" s="5" t="inlineStr">
        <is>
          <t>Présence annoncée</t>
        </is>
      </c>
      <c r="E15" s="5" t="inlineStr">
        <is>
          <t>% de l'objectif</t>
        </is>
      </c>
      <c r="F15" s="5" t="inlineStr">
        <is>
          <t>Statut</t>
        </is>
      </c>
    </row>
    <row r="16">
      <c r="A16" s="11" t="inlineStr">
        <is>
          <t>Presse</t>
        </is>
      </c>
      <c r="B16" s="7" t="n">
        <v>30</v>
      </c>
      <c r="C16" s="7">
        <f>COUNTIF(Inscrits!$H$2:$H$1000,A16)</f>
        <v/>
      </c>
      <c r="D16" s="7">
        <f>COUNTIFS(Inscrits!$H$2:$H$1000,A16,Inscrits!$I$2:$I$1000,"Oui")</f>
        <v/>
      </c>
      <c r="E16" s="8">
        <f>IF(B16=0,"",D16/B16)</f>
        <v/>
      </c>
      <c r="F16" s="7">
        <f>IF(B16=0,"",IF(E16&gt;=1,"Atteint",IF(E16&gt;=0.6,"En bonne voie","À relancer")))</f>
        <v/>
      </c>
    </row>
    <row r="17">
      <c r="A17" s="11" t="inlineStr">
        <is>
          <t>Distribution</t>
        </is>
      </c>
      <c r="B17" s="7" t="n">
        <v>50</v>
      </c>
      <c r="C17" s="7">
        <f>COUNTIF(Inscrits!$H$2:$H$1000,A17)</f>
        <v/>
      </c>
      <c r="D17" s="7">
        <f>COUNTIFS(Inscrits!$H$2:$H$1000,A17,Inscrits!$I$2:$I$1000,"Oui")</f>
        <v/>
      </c>
      <c r="E17" s="8">
        <f>IF(B17=0,"",D17/B17)</f>
        <v/>
      </c>
      <c r="F17" s="7">
        <f>IF(B17=0,"",IF(E17&gt;=1,"Atteint",IF(E17&gt;=0.6,"En bonne voie","À relancer")))</f>
        <v/>
      </c>
    </row>
    <row r="18">
      <c r="A18" s="11" t="inlineStr">
        <is>
          <t>Créateurs de contenu</t>
        </is>
      </c>
      <c r="B18" s="7" t="n">
        <v>25</v>
      </c>
      <c r="C18" s="7">
        <f>COUNTIF(Inscrits!$H$2:$H$1000,A18)</f>
        <v/>
      </c>
      <c r="D18" s="7">
        <f>COUNTIFS(Inscrits!$H$2:$H$1000,A18,Inscrits!$I$2:$I$1000,"Oui")</f>
        <v/>
      </c>
      <c r="E18" s="8">
        <f>IF(B18=0,"",D18/B18)</f>
        <v/>
      </c>
      <c r="F18" s="7">
        <f>IF(B18=0,"",IF(E18&gt;=1,"Atteint",IF(E18&gt;=0.6,"En bonne voie","À relancer")))</f>
        <v/>
      </c>
    </row>
    <row r="19">
      <c r="A19" s="11" t="inlineStr">
        <is>
          <t>Partenaires</t>
        </is>
      </c>
      <c r="B19" s="7" t="n">
        <v>75</v>
      </c>
      <c r="C19" s="7">
        <f>COUNTIF(Inscrits!$H$2:$H$1000,A19)</f>
        <v/>
      </c>
      <c r="D19" s="7">
        <f>COUNTIFS(Inscrits!$H$2:$H$1000,A19,Inscrits!$I$2:$I$1000,"Oui")</f>
        <v/>
      </c>
      <c r="E19" s="8">
        <f>IF(B19=0,"",D19/B19)</f>
        <v/>
      </c>
      <c r="F19" s="7">
        <f>IF(B19=0,"",IF(E19&gt;=1,"Atteint",IF(E19&gt;=0.6,"En bonne voie","À relancer")))</f>
        <v/>
      </c>
    </row>
    <row r="20">
      <c r="A20" s="11" t="inlineStr">
        <is>
          <t>Autres invités</t>
        </is>
      </c>
      <c r="B20" s="7" t="n">
        <v>0</v>
      </c>
      <c r="C20" s="7">
        <f>COUNTIF(Inscrits!$H$2:$H$1000,A20)</f>
        <v/>
      </c>
      <c r="D20" s="7">
        <f>COUNTIFS(Inscrits!$H$2:$H$1000,A20,Inscrits!$I$2:$I$1000,"Oui")</f>
        <v/>
      </c>
      <c r="E20" s="8">
        <f>IF(B20=0,"",D20/B20)</f>
        <v/>
      </c>
      <c r="F20" s="7">
        <f>IF(B20=0,"",IF(E20&gt;=1,"Atteint",IF(E20&gt;=0.6,"En bonne voie","À relancer")))</f>
        <v/>
      </c>
    </row>
    <row r="21">
      <c r="A21" s="12" t="inlineStr">
        <is>
          <t>Total</t>
        </is>
      </c>
      <c r="B21" s="12">
        <f>SUM(B16:B20)</f>
        <v/>
      </c>
      <c r="C21" s="12">
        <f>SUM(C16:C20)</f>
        <v/>
      </c>
      <c r="D21" s="12">
        <f>SUM(D16:D20)</f>
        <v/>
      </c>
      <c r="E21" s="13">
        <f>IFERROR(D21/B21,0)</f>
        <v/>
      </c>
      <c r="F21" s="12" t="inlineStr"/>
    </row>
    <row r="23">
      <c r="A23" s="5" t="inlineStr">
        <is>
          <t>Le jour J (émargement)</t>
        </is>
      </c>
      <c r="B23" s="5" t="inlineStr">
        <is>
          <t>Valeur</t>
        </is>
      </c>
      <c r="C23" s="5" t="inlineStr">
        <is>
          <t>Objectif</t>
        </is>
      </c>
      <c r="D23" s="5" t="inlineStr">
        <is>
          <t>Où on en est</t>
        </is>
      </c>
    </row>
    <row r="24">
      <c r="A24" s="11" t="inlineStr">
        <is>
          <t>Présents le 10 décembre</t>
        </is>
      </c>
      <c r="B24" s="7">
        <f>COUNTIF(Inscrits!$O$2:$O$1000,"Oui")</f>
        <v/>
      </c>
      <c r="C24" s="7" t="inlineStr"/>
      <c r="D24" s="7" t="inlineStr"/>
    </row>
    <row r="25">
      <c r="A25" s="11" t="inlineStr">
        <is>
          <t>Taux de présence (présents sur présences annoncées)</t>
        </is>
      </c>
      <c r="B25" s="8">
        <f>IFERROR(B24/B7,0)</f>
        <v/>
      </c>
      <c r="C25" s="8" t="n">
        <v>0.7</v>
      </c>
      <c r="D25" s="7">
        <f>IF(B24=0,"Rempli le soir même",IF(B25&gt;=C25,"Objectif atteint","Sous l'objectif"))</f>
        <v/>
      </c>
    </row>
    <row r="28">
      <c r="A28" s="14" t="inlineStr">
        <is>
          <t>Mode d'emploi</t>
        </is>
      </c>
    </row>
    <row r="29">
      <c r="A29" s="15" t="inlineStr">
        <is>
          <t>• Les onglets « Tableau de bord » et « Suivi par jour » se calculent seuls : ne rien y saisir.</t>
        </is>
      </c>
    </row>
    <row r="30">
      <c r="A30" s="15" t="inlineStr">
        <is>
          <t>• L'onglet « Inscrits » se remplit automatiquement depuis le formulaire (colonnes A à M) : ne pas les modifier, ni trier, ni supprimer de ligne.</t>
        </is>
      </c>
    </row>
    <row r="31">
      <c r="A31" s="15" t="inlineStr">
        <is>
          <t>• Colonnes N à P, à remplir par l'équipe : confirmation envoyée (Oui/Non), présent le 10 décembre (Oui/Non, le soir même à l'accueil), notes.</t>
        </is>
      </c>
    </row>
    <row r="32">
      <c r="A32" s="15" t="inlineStr">
        <is>
          <t>• Les inscriptions de test (prénom « TEST ») ne sont pas reprises.</t>
        </is>
      </c>
    </row>
  </sheetData>
  <conditionalFormatting sqref="F16:F20">
    <cfRule type="cellIs" priority="1" operator="equal" dxfId="0">
      <formula>"À relancer"</formula>
    </cfRule>
    <cfRule type="cellIs" priority="2" operator="equal" dxfId="1">
      <formula>"Atteint"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  <col width="14" customWidth="1" min="5" max="5"/>
    <col width="13" customWidth="1" min="6" max="6"/>
    <col width="15" customWidth="1" min="7" max="7"/>
  </cols>
  <sheetData>
    <row r="1">
      <c r="A1" s="16" t="inlineStr">
        <is>
          <t>Date</t>
        </is>
      </c>
      <c r="B1" s="16" t="inlineStr">
        <is>
          <t>Nouvelles inscriptions</t>
        </is>
      </c>
      <c r="C1" s="16" t="inlineStr">
        <is>
          <t>Cumul des inscriptions</t>
        </is>
      </c>
      <c r="D1" s="16" t="inlineStr">
        <is>
          <t>Cumul des présences annoncées</t>
        </is>
      </c>
      <c r="E1" s="16" t="inlineStr">
        <is>
          <t>% de l'objectif (180)</t>
        </is>
      </c>
      <c r="F1" s="16" t="inlineStr">
        <is>
          <t>Trajectoire visée</t>
        </is>
      </c>
      <c r="G1" s="16" t="inlineStr">
        <is>
          <t>Où on en est</t>
        </is>
      </c>
    </row>
    <row r="2">
      <c r="A2" s="17" t="n">
        <v>46314</v>
      </c>
      <c r="B2" s="18">
        <f>COUNTIFS(Inscrits!$A$2:$A$1000,"&gt;="&amp;A2,Inscrits!$A$2:$A$1000,"&lt;"&amp;A2+1)</f>
        <v/>
      </c>
      <c r="C2" s="18">
        <f>COUNTIFS(Inscrits!$A$2:$A$1000,"&lt;"&amp;A2+1)</f>
        <v/>
      </c>
      <c r="D2" s="18">
        <f>COUNTIFS(Inscrits!$A$2:$A$1000,"&lt;"&amp;A2+1,Inscrits!$I$2:$I$1000,"Oui")</f>
        <v/>
      </c>
      <c r="E2" s="19">
        <f>D2/180</f>
        <v/>
      </c>
      <c r="F2" s="19">
        <f>MAX(0,MIN(1,(A2-DATE(2026,11,16))/(DATE(2026,12,7)-DATE(2026,11,16))))</f>
        <v/>
      </c>
      <c r="G2" s="18">
        <f>IF(A2&gt;TODAY(),"",IF(E2&gt;=F2,"Dans les temps","En retard"))</f>
        <v/>
      </c>
    </row>
    <row r="3">
      <c r="A3" s="20" t="n">
        <v>46315</v>
      </c>
      <c r="B3" s="7">
        <f>COUNTIFS(Inscrits!$A$2:$A$1000,"&gt;="&amp;A3,Inscrits!$A$2:$A$1000,"&lt;"&amp;A3+1)</f>
        <v/>
      </c>
      <c r="C3" s="7">
        <f>COUNTIFS(Inscrits!$A$2:$A$1000,"&lt;"&amp;A3+1)</f>
        <v/>
      </c>
      <c r="D3" s="7">
        <f>COUNTIFS(Inscrits!$A$2:$A$1000,"&lt;"&amp;A3+1,Inscrits!$I$2:$I$1000,"Oui")</f>
        <v/>
      </c>
      <c r="E3" s="8">
        <f>D3/180</f>
        <v/>
      </c>
      <c r="F3" s="8">
        <f>MAX(0,MIN(1,(A3-DATE(2026,11,16))/(DATE(2026,12,7)-DATE(2026,11,16))))</f>
        <v/>
      </c>
      <c r="G3" s="7">
        <f>IF(A3&gt;TODAY(),"",IF(E3&gt;=F3,"Dans les temps","En retard"))</f>
        <v/>
      </c>
    </row>
    <row r="4">
      <c r="A4" s="20" t="n">
        <v>46316</v>
      </c>
      <c r="B4" s="7">
        <f>COUNTIFS(Inscrits!$A$2:$A$1000,"&gt;="&amp;A4,Inscrits!$A$2:$A$1000,"&lt;"&amp;A4+1)</f>
        <v/>
      </c>
      <c r="C4" s="7">
        <f>COUNTIFS(Inscrits!$A$2:$A$1000,"&lt;"&amp;A4+1)</f>
        <v/>
      </c>
      <c r="D4" s="7">
        <f>COUNTIFS(Inscrits!$A$2:$A$1000,"&lt;"&amp;A4+1,Inscrits!$I$2:$I$1000,"Oui")</f>
        <v/>
      </c>
      <c r="E4" s="8">
        <f>D4/180</f>
        <v/>
      </c>
      <c r="F4" s="8">
        <f>MAX(0,MIN(1,(A4-DATE(2026,11,16))/(DATE(2026,12,7)-DATE(2026,11,16))))</f>
        <v/>
      </c>
      <c r="G4" s="7">
        <f>IF(A4&gt;TODAY(),"",IF(E4&gt;=F4,"Dans les temps","En retard"))</f>
        <v/>
      </c>
    </row>
    <row r="5">
      <c r="A5" s="20" t="n">
        <v>46317</v>
      </c>
      <c r="B5" s="7">
        <f>COUNTIFS(Inscrits!$A$2:$A$1000,"&gt;="&amp;A5,Inscrits!$A$2:$A$1000,"&lt;"&amp;A5+1)</f>
        <v/>
      </c>
      <c r="C5" s="7">
        <f>COUNTIFS(Inscrits!$A$2:$A$1000,"&lt;"&amp;A5+1)</f>
        <v/>
      </c>
      <c r="D5" s="7">
        <f>COUNTIFS(Inscrits!$A$2:$A$1000,"&lt;"&amp;A5+1,Inscrits!$I$2:$I$1000,"Oui")</f>
        <v/>
      </c>
      <c r="E5" s="8">
        <f>D5/180</f>
        <v/>
      </c>
      <c r="F5" s="8">
        <f>MAX(0,MIN(1,(A5-DATE(2026,11,16))/(DATE(2026,12,7)-DATE(2026,11,16))))</f>
        <v/>
      </c>
      <c r="G5" s="7">
        <f>IF(A5&gt;TODAY(),"",IF(E5&gt;=F5,"Dans les temps","En retard"))</f>
        <v/>
      </c>
    </row>
    <row r="6">
      <c r="A6" s="20" t="n">
        <v>46318</v>
      </c>
      <c r="B6" s="7">
        <f>COUNTIFS(Inscrits!$A$2:$A$1000,"&gt;="&amp;A6,Inscrits!$A$2:$A$1000,"&lt;"&amp;A6+1)</f>
        <v/>
      </c>
      <c r="C6" s="7">
        <f>COUNTIFS(Inscrits!$A$2:$A$1000,"&lt;"&amp;A6+1)</f>
        <v/>
      </c>
      <c r="D6" s="7">
        <f>COUNTIFS(Inscrits!$A$2:$A$1000,"&lt;"&amp;A6+1,Inscrits!$I$2:$I$1000,"Oui")</f>
        <v/>
      </c>
      <c r="E6" s="8">
        <f>D6/180</f>
        <v/>
      </c>
      <c r="F6" s="8">
        <f>MAX(0,MIN(1,(A6-DATE(2026,11,16))/(DATE(2026,12,7)-DATE(2026,11,16))))</f>
        <v/>
      </c>
      <c r="G6" s="7">
        <f>IF(A6&gt;TODAY(),"",IF(E6&gt;=F6,"Dans les temps","En retard"))</f>
        <v/>
      </c>
    </row>
    <row r="7">
      <c r="A7" s="20" t="n">
        <v>46319</v>
      </c>
      <c r="B7" s="7">
        <f>COUNTIFS(Inscrits!$A$2:$A$1000,"&gt;="&amp;A7,Inscrits!$A$2:$A$1000,"&lt;"&amp;A7+1)</f>
        <v/>
      </c>
      <c r="C7" s="7">
        <f>COUNTIFS(Inscrits!$A$2:$A$1000,"&lt;"&amp;A7+1)</f>
        <v/>
      </c>
      <c r="D7" s="7">
        <f>COUNTIFS(Inscrits!$A$2:$A$1000,"&lt;"&amp;A7+1,Inscrits!$I$2:$I$1000,"Oui")</f>
        <v/>
      </c>
      <c r="E7" s="8">
        <f>D7/180</f>
        <v/>
      </c>
      <c r="F7" s="8">
        <f>MAX(0,MIN(1,(A7-DATE(2026,11,16))/(DATE(2026,12,7)-DATE(2026,11,16))))</f>
        <v/>
      </c>
      <c r="G7" s="7">
        <f>IF(A7&gt;TODAY(),"",IF(E7&gt;=F7,"Dans les temps","En retard"))</f>
        <v/>
      </c>
    </row>
    <row r="8">
      <c r="A8" s="20" t="n">
        <v>46320</v>
      </c>
      <c r="B8" s="7">
        <f>COUNTIFS(Inscrits!$A$2:$A$1000,"&gt;="&amp;A8,Inscrits!$A$2:$A$1000,"&lt;"&amp;A8+1)</f>
        <v/>
      </c>
      <c r="C8" s="7">
        <f>COUNTIFS(Inscrits!$A$2:$A$1000,"&lt;"&amp;A8+1)</f>
        <v/>
      </c>
      <c r="D8" s="7">
        <f>COUNTIFS(Inscrits!$A$2:$A$1000,"&lt;"&amp;A8+1,Inscrits!$I$2:$I$1000,"Oui")</f>
        <v/>
      </c>
      <c r="E8" s="8">
        <f>D8/180</f>
        <v/>
      </c>
      <c r="F8" s="8">
        <f>MAX(0,MIN(1,(A8-DATE(2026,11,16))/(DATE(2026,12,7)-DATE(2026,11,16))))</f>
        <v/>
      </c>
      <c r="G8" s="7">
        <f>IF(A8&gt;TODAY(),"",IF(E8&gt;=F8,"Dans les temps","En retard"))</f>
        <v/>
      </c>
    </row>
    <row r="9">
      <c r="A9" s="17" t="n">
        <v>46321</v>
      </c>
      <c r="B9" s="18">
        <f>COUNTIFS(Inscrits!$A$2:$A$1000,"&gt;="&amp;A9,Inscrits!$A$2:$A$1000,"&lt;"&amp;A9+1)</f>
        <v/>
      </c>
      <c r="C9" s="18">
        <f>COUNTIFS(Inscrits!$A$2:$A$1000,"&lt;"&amp;A9+1)</f>
        <v/>
      </c>
      <c r="D9" s="18">
        <f>COUNTIFS(Inscrits!$A$2:$A$1000,"&lt;"&amp;A9+1,Inscrits!$I$2:$I$1000,"Oui")</f>
        <v/>
      </c>
      <c r="E9" s="19">
        <f>D9/180</f>
        <v/>
      </c>
      <c r="F9" s="19">
        <f>MAX(0,MIN(1,(A9-DATE(2026,11,16))/(DATE(2026,12,7)-DATE(2026,11,16))))</f>
        <v/>
      </c>
      <c r="G9" s="18">
        <f>IF(A9&gt;TODAY(),"",IF(E9&gt;=F9,"Dans les temps","En retard"))</f>
        <v/>
      </c>
    </row>
    <row r="10">
      <c r="A10" s="20" t="n">
        <v>46322</v>
      </c>
      <c r="B10" s="7">
        <f>COUNTIFS(Inscrits!$A$2:$A$1000,"&gt;="&amp;A10,Inscrits!$A$2:$A$1000,"&lt;"&amp;A10+1)</f>
        <v/>
      </c>
      <c r="C10" s="7">
        <f>COUNTIFS(Inscrits!$A$2:$A$1000,"&lt;"&amp;A10+1)</f>
        <v/>
      </c>
      <c r="D10" s="7">
        <f>COUNTIFS(Inscrits!$A$2:$A$1000,"&lt;"&amp;A10+1,Inscrits!$I$2:$I$1000,"Oui")</f>
        <v/>
      </c>
      <c r="E10" s="8">
        <f>D10/180</f>
        <v/>
      </c>
      <c r="F10" s="8">
        <f>MAX(0,MIN(1,(A10-DATE(2026,11,16))/(DATE(2026,12,7)-DATE(2026,11,16))))</f>
        <v/>
      </c>
      <c r="G10" s="7">
        <f>IF(A10&gt;TODAY(),"",IF(E10&gt;=F10,"Dans les temps","En retard"))</f>
        <v/>
      </c>
    </row>
    <row r="11">
      <c r="A11" s="20" t="n">
        <v>46323</v>
      </c>
      <c r="B11" s="7">
        <f>COUNTIFS(Inscrits!$A$2:$A$1000,"&gt;="&amp;A11,Inscrits!$A$2:$A$1000,"&lt;"&amp;A11+1)</f>
        <v/>
      </c>
      <c r="C11" s="7">
        <f>COUNTIFS(Inscrits!$A$2:$A$1000,"&lt;"&amp;A11+1)</f>
        <v/>
      </c>
      <c r="D11" s="7">
        <f>COUNTIFS(Inscrits!$A$2:$A$1000,"&lt;"&amp;A11+1,Inscrits!$I$2:$I$1000,"Oui")</f>
        <v/>
      </c>
      <c r="E11" s="8">
        <f>D11/180</f>
        <v/>
      </c>
      <c r="F11" s="8">
        <f>MAX(0,MIN(1,(A11-DATE(2026,11,16))/(DATE(2026,12,7)-DATE(2026,11,16))))</f>
        <v/>
      </c>
      <c r="G11" s="7">
        <f>IF(A11&gt;TODAY(),"",IF(E11&gt;=F11,"Dans les temps","En retard"))</f>
        <v/>
      </c>
    </row>
    <row r="12">
      <c r="A12" s="20" t="n">
        <v>46324</v>
      </c>
      <c r="B12" s="7">
        <f>COUNTIFS(Inscrits!$A$2:$A$1000,"&gt;="&amp;A12,Inscrits!$A$2:$A$1000,"&lt;"&amp;A12+1)</f>
        <v/>
      </c>
      <c r="C12" s="7">
        <f>COUNTIFS(Inscrits!$A$2:$A$1000,"&lt;"&amp;A12+1)</f>
        <v/>
      </c>
      <c r="D12" s="7">
        <f>COUNTIFS(Inscrits!$A$2:$A$1000,"&lt;"&amp;A12+1,Inscrits!$I$2:$I$1000,"Oui")</f>
        <v/>
      </c>
      <c r="E12" s="8">
        <f>D12/180</f>
        <v/>
      </c>
      <c r="F12" s="8">
        <f>MAX(0,MIN(1,(A12-DATE(2026,11,16))/(DATE(2026,12,7)-DATE(2026,11,16))))</f>
        <v/>
      </c>
      <c r="G12" s="7">
        <f>IF(A12&gt;TODAY(),"",IF(E12&gt;=F12,"Dans les temps","En retard"))</f>
        <v/>
      </c>
    </row>
    <row r="13">
      <c r="A13" s="20" t="n">
        <v>46325</v>
      </c>
      <c r="B13" s="7">
        <f>COUNTIFS(Inscrits!$A$2:$A$1000,"&gt;="&amp;A13,Inscrits!$A$2:$A$1000,"&lt;"&amp;A13+1)</f>
        <v/>
      </c>
      <c r="C13" s="7">
        <f>COUNTIFS(Inscrits!$A$2:$A$1000,"&lt;"&amp;A13+1)</f>
        <v/>
      </c>
      <c r="D13" s="7">
        <f>COUNTIFS(Inscrits!$A$2:$A$1000,"&lt;"&amp;A13+1,Inscrits!$I$2:$I$1000,"Oui")</f>
        <v/>
      </c>
      <c r="E13" s="8">
        <f>D13/180</f>
        <v/>
      </c>
      <c r="F13" s="8">
        <f>MAX(0,MIN(1,(A13-DATE(2026,11,16))/(DATE(2026,12,7)-DATE(2026,11,16))))</f>
        <v/>
      </c>
      <c r="G13" s="7">
        <f>IF(A13&gt;TODAY(),"",IF(E13&gt;=F13,"Dans les temps","En retard"))</f>
        <v/>
      </c>
    </row>
    <row r="14">
      <c r="A14" s="20" t="n">
        <v>46326</v>
      </c>
      <c r="B14" s="7">
        <f>COUNTIFS(Inscrits!$A$2:$A$1000,"&gt;="&amp;A14,Inscrits!$A$2:$A$1000,"&lt;"&amp;A14+1)</f>
        <v/>
      </c>
      <c r="C14" s="7">
        <f>COUNTIFS(Inscrits!$A$2:$A$1000,"&lt;"&amp;A14+1)</f>
        <v/>
      </c>
      <c r="D14" s="7">
        <f>COUNTIFS(Inscrits!$A$2:$A$1000,"&lt;"&amp;A14+1,Inscrits!$I$2:$I$1000,"Oui")</f>
        <v/>
      </c>
      <c r="E14" s="8">
        <f>D14/180</f>
        <v/>
      </c>
      <c r="F14" s="8">
        <f>MAX(0,MIN(1,(A14-DATE(2026,11,16))/(DATE(2026,12,7)-DATE(2026,11,16))))</f>
        <v/>
      </c>
      <c r="G14" s="7">
        <f>IF(A14&gt;TODAY(),"",IF(E14&gt;=F14,"Dans les temps","En retard"))</f>
        <v/>
      </c>
    </row>
    <row r="15">
      <c r="A15" s="20" t="n">
        <v>46327</v>
      </c>
      <c r="B15" s="7">
        <f>COUNTIFS(Inscrits!$A$2:$A$1000,"&gt;="&amp;A15,Inscrits!$A$2:$A$1000,"&lt;"&amp;A15+1)</f>
        <v/>
      </c>
      <c r="C15" s="7">
        <f>COUNTIFS(Inscrits!$A$2:$A$1000,"&lt;"&amp;A15+1)</f>
        <v/>
      </c>
      <c r="D15" s="7">
        <f>COUNTIFS(Inscrits!$A$2:$A$1000,"&lt;"&amp;A15+1,Inscrits!$I$2:$I$1000,"Oui")</f>
        <v/>
      </c>
      <c r="E15" s="8">
        <f>D15/180</f>
        <v/>
      </c>
      <c r="F15" s="8">
        <f>MAX(0,MIN(1,(A15-DATE(2026,11,16))/(DATE(2026,12,7)-DATE(2026,11,16))))</f>
        <v/>
      </c>
      <c r="G15" s="7">
        <f>IF(A15&gt;TODAY(),"",IF(E15&gt;=F15,"Dans les temps","En retard"))</f>
        <v/>
      </c>
    </row>
    <row r="16">
      <c r="A16" s="17" t="n">
        <v>46328</v>
      </c>
      <c r="B16" s="18">
        <f>COUNTIFS(Inscrits!$A$2:$A$1000,"&gt;="&amp;A16,Inscrits!$A$2:$A$1000,"&lt;"&amp;A16+1)</f>
        <v/>
      </c>
      <c r="C16" s="18">
        <f>COUNTIFS(Inscrits!$A$2:$A$1000,"&lt;"&amp;A16+1)</f>
        <v/>
      </c>
      <c r="D16" s="18">
        <f>COUNTIFS(Inscrits!$A$2:$A$1000,"&lt;"&amp;A16+1,Inscrits!$I$2:$I$1000,"Oui")</f>
        <v/>
      </c>
      <c r="E16" s="19">
        <f>D16/180</f>
        <v/>
      </c>
      <c r="F16" s="19">
        <f>MAX(0,MIN(1,(A16-DATE(2026,11,16))/(DATE(2026,12,7)-DATE(2026,11,16))))</f>
        <v/>
      </c>
      <c r="G16" s="18">
        <f>IF(A16&gt;TODAY(),"",IF(E16&gt;=F16,"Dans les temps","En retard"))</f>
        <v/>
      </c>
    </row>
    <row r="17">
      <c r="A17" s="20" t="n">
        <v>46329</v>
      </c>
      <c r="B17" s="7">
        <f>COUNTIFS(Inscrits!$A$2:$A$1000,"&gt;="&amp;A17,Inscrits!$A$2:$A$1000,"&lt;"&amp;A17+1)</f>
        <v/>
      </c>
      <c r="C17" s="7">
        <f>COUNTIFS(Inscrits!$A$2:$A$1000,"&lt;"&amp;A17+1)</f>
        <v/>
      </c>
      <c r="D17" s="7">
        <f>COUNTIFS(Inscrits!$A$2:$A$1000,"&lt;"&amp;A17+1,Inscrits!$I$2:$I$1000,"Oui")</f>
        <v/>
      </c>
      <c r="E17" s="8">
        <f>D17/180</f>
        <v/>
      </c>
      <c r="F17" s="8">
        <f>MAX(0,MIN(1,(A17-DATE(2026,11,16))/(DATE(2026,12,7)-DATE(2026,11,16))))</f>
        <v/>
      </c>
      <c r="G17" s="7">
        <f>IF(A17&gt;TODAY(),"",IF(E17&gt;=F17,"Dans les temps","En retard"))</f>
        <v/>
      </c>
    </row>
    <row r="18">
      <c r="A18" s="20" t="n">
        <v>46330</v>
      </c>
      <c r="B18" s="7">
        <f>COUNTIFS(Inscrits!$A$2:$A$1000,"&gt;="&amp;A18,Inscrits!$A$2:$A$1000,"&lt;"&amp;A18+1)</f>
        <v/>
      </c>
      <c r="C18" s="7">
        <f>COUNTIFS(Inscrits!$A$2:$A$1000,"&lt;"&amp;A18+1)</f>
        <v/>
      </c>
      <c r="D18" s="7">
        <f>COUNTIFS(Inscrits!$A$2:$A$1000,"&lt;"&amp;A18+1,Inscrits!$I$2:$I$1000,"Oui")</f>
        <v/>
      </c>
      <c r="E18" s="8">
        <f>D18/180</f>
        <v/>
      </c>
      <c r="F18" s="8">
        <f>MAX(0,MIN(1,(A18-DATE(2026,11,16))/(DATE(2026,12,7)-DATE(2026,11,16))))</f>
        <v/>
      </c>
      <c r="G18" s="7">
        <f>IF(A18&gt;TODAY(),"",IF(E18&gt;=F18,"Dans les temps","En retard"))</f>
        <v/>
      </c>
    </row>
    <row r="19">
      <c r="A19" s="20" t="n">
        <v>46331</v>
      </c>
      <c r="B19" s="7">
        <f>COUNTIFS(Inscrits!$A$2:$A$1000,"&gt;="&amp;A19,Inscrits!$A$2:$A$1000,"&lt;"&amp;A19+1)</f>
        <v/>
      </c>
      <c r="C19" s="7">
        <f>COUNTIFS(Inscrits!$A$2:$A$1000,"&lt;"&amp;A19+1)</f>
        <v/>
      </c>
      <c r="D19" s="7">
        <f>COUNTIFS(Inscrits!$A$2:$A$1000,"&lt;"&amp;A19+1,Inscrits!$I$2:$I$1000,"Oui")</f>
        <v/>
      </c>
      <c r="E19" s="8">
        <f>D19/180</f>
        <v/>
      </c>
      <c r="F19" s="8">
        <f>MAX(0,MIN(1,(A19-DATE(2026,11,16))/(DATE(2026,12,7)-DATE(2026,11,16))))</f>
        <v/>
      </c>
      <c r="G19" s="7">
        <f>IF(A19&gt;TODAY(),"",IF(E19&gt;=F19,"Dans les temps","En retard"))</f>
        <v/>
      </c>
    </row>
    <row r="20">
      <c r="A20" s="20" t="n">
        <v>46332</v>
      </c>
      <c r="B20" s="7">
        <f>COUNTIFS(Inscrits!$A$2:$A$1000,"&gt;="&amp;A20,Inscrits!$A$2:$A$1000,"&lt;"&amp;A20+1)</f>
        <v/>
      </c>
      <c r="C20" s="7">
        <f>COUNTIFS(Inscrits!$A$2:$A$1000,"&lt;"&amp;A20+1)</f>
        <v/>
      </c>
      <c r="D20" s="7">
        <f>COUNTIFS(Inscrits!$A$2:$A$1000,"&lt;"&amp;A20+1,Inscrits!$I$2:$I$1000,"Oui")</f>
        <v/>
      </c>
      <c r="E20" s="8">
        <f>D20/180</f>
        <v/>
      </c>
      <c r="F20" s="8">
        <f>MAX(0,MIN(1,(A20-DATE(2026,11,16))/(DATE(2026,12,7)-DATE(2026,11,16))))</f>
        <v/>
      </c>
      <c r="G20" s="7">
        <f>IF(A20&gt;TODAY(),"",IF(E20&gt;=F20,"Dans les temps","En retard"))</f>
        <v/>
      </c>
    </row>
    <row r="21">
      <c r="A21" s="20" t="n">
        <v>46333</v>
      </c>
      <c r="B21" s="7">
        <f>COUNTIFS(Inscrits!$A$2:$A$1000,"&gt;="&amp;A21,Inscrits!$A$2:$A$1000,"&lt;"&amp;A21+1)</f>
        <v/>
      </c>
      <c r="C21" s="7">
        <f>COUNTIFS(Inscrits!$A$2:$A$1000,"&lt;"&amp;A21+1)</f>
        <v/>
      </c>
      <c r="D21" s="7">
        <f>COUNTIFS(Inscrits!$A$2:$A$1000,"&lt;"&amp;A21+1,Inscrits!$I$2:$I$1000,"Oui")</f>
        <v/>
      </c>
      <c r="E21" s="8">
        <f>D21/180</f>
        <v/>
      </c>
      <c r="F21" s="8">
        <f>MAX(0,MIN(1,(A21-DATE(2026,11,16))/(DATE(2026,12,7)-DATE(2026,11,16))))</f>
        <v/>
      </c>
      <c r="G21" s="7">
        <f>IF(A21&gt;TODAY(),"",IF(E21&gt;=F21,"Dans les temps","En retard"))</f>
        <v/>
      </c>
    </row>
    <row r="22">
      <c r="A22" s="20" t="n">
        <v>46334</v>
      </c>
      <c r="B22" s="7">
        <f>COUNTIFS(Inscrits!$A$2:$A$1000,"&gt;="&amp;A22,Inscrits!$A$2:$A$1000,"&lt;"&amp;A22+1)</f>
        <v/>
      </c>
      <c r="C22" s="7">
        <f>COUNTIFS(Inscrits!$A$2:$A$1000,"&lt;"&amp;A22+1)</f>
        <v/>
      </c>
      <c r="D22" s="7">
        <f>COUNTIFS(Inscrits!$A$2:$A$1000,"&lt;"&amp;A22+1,Inscrits!$I$2:$I$1000,"Oui")</f>
        <v/>
      </c>
      <c r="E22" s="8">
        <f>D22/180</f>
        <v/>
      </c>
      <c r="F22" s="8">
        <f>MAX(0,MIN(1,(A22-DATE(2026,11,16))/(DATE(2026,12,7)-DATE(2026,11,16))))</f>
        <v/>
      </c>
      <c r="G22" s="7">
        <f>IF(A22&gt;TODAY(),"",IF(E22&gt;=F22,"Dans les temps","En retard"))</f>
        <v/>
      </c>
    </row>
    <row r="23">
      <c r="A23" s="17" t="n">
        <v>46335</v>
      </c>
      <c r="B23" s="18">
        <f>COUNTIFS(Inscrits!$A$2:$A$1000,"&gt;="&amp;A23,Inscrits!$A$2:$A$1000,"&lt;"&amp;A23+1)</f>
        <v/>
      </c>
      <c r="C23" s="18">
        <f>COUNTIFS(Inscrits!$A$2:$A$1000,"&lt;"&amp;A23+1)</f>
        <v/>
      </c>
      <c r="D23" s="18">
        <f>COUNTIFS(Inscrits!$A$2:$A$1000,"&lt;"&amp;A23+1,Inscrits!$I$2:$I$1000,"Oui")</f>
        <v/>
      </c>
      <c r="E23" s="19">
        <f>D23/180</f>
        <v/>
      </c>
      <c r="F23" s="19">
        <f>MAX(0,MIN(1,(A23-DATE(2026,11,16))/(DATE(2026,12,7)-DATE(2026,11,16))))</f>
        <v/>
      </c>
      <c r="G23" s="18">
        <f>IF(A23&gt;TODAY(),"",IF(E23&gt;=F23,"Dans les temps","En retard"))</f>
        <v/>
      </c>
    </row>
    <row r="24">
      <c r="A24" s="20" t="n">
        <v>46336</v>
      </c>
      <c r="B24" s="7">
        <f>COUNTIFS(Inscrits!$A$2:$A$1000,"&gt;="&amp;A24,Inscrits!$A$2:$A$1000,"&lt;"&amp;A24+1)</f>
        <v/>
      </c>
      <c r="C24" s="7">
        <f>COUNTIFS(Inscrits!$A$2:$A$1000,"&lt;"&amp;A24+1)</f>
        <v/>
      </c>
      <c r="D24" s="7">
        <f>COUNTIFS(Inscrits!$A$2:$A$1000,"&lt;"&amp;A24+1,Inscrits!$I$2:$I$1000,"Oui")</f>
        <v/>
      </c>
      <c r="E24" s="8">
        <f>D24/180</f>
        <v/>
      </c>
      <c r="F24" s="8">
        <f>MAX(0,MIN(1,(A24-DATE(2026,11,16))/(DATE(2026,12,7)-DATE(2026,11,16))))</f>
        <v/>
      </c>
      <c r="G24" s="7">
        <f>IF(A24&gt;TODAY(),"",IF(E24&gt;=F24,"Dans les temps","En retard"))</f>
        <v/>
      </c>
    </row>
    <row r="25">
      <c r="A25" s="20" t="n">
        <v>46337</v>
      </c>
      <c r="B25" s="7">
        <f>COUNTIFS(Inscrits!$A$2:$A$1000,"&gt;="&amp;A25,Inscrits!$A$2:$A$1000,"&lt;"&amp;A25+1)</f>
        <v/>
      </c>
      <c r="C25" s="7">
        <f>COUNTIFS(Inscrits!$A$2:$A$1000,"&lt;"&amp;A25+1)</f>
        <v/>
      </c>
      <c r="D25" s="7">
        <f>COUNTIFS(Inscrits!$A$2:$A$1000,"&lt;"&amp;A25+1,Inscrits!$I$2:$I$1000,"Oui")</f>
        <v/>
      </c>
      <c r="E25" s="8">
        <f>D25/180</f>
        <v/>
      </c>
      <c r="F25" s="8">
        <f>MAX(0,MIN(1,(A25-DATE(2026,11,16))/(DATE(2026,12,7)-DATE(2026,11,16))))</f>
        <v/>
      </c>
      <c r="G25" s="7">
        <f>IF(A25&gt;TODAY(),"",IF(E25&gt;=F25,"Dans les temps","En retard"))</f>
        <v/>
      </c>
    </row>
    <row r="26">
      <c r="A26" s="20" t="n">
        <v>46338</v>
      </c>
      <c r="B26" s="7">
        <f>COUNTIFS(Inscrits!$A$2:$A$1000,"&gt;="&amp;A26,Inscrits!$A$2:$A$1000,"&lt;"&amp;A26+1)</f>
        <v/>
      </c>
      <c r="C26" s="7">
        <f>COUNTIFS(Inscrits!$A$2:$A$1000,"&lt;"&amp;A26+1)</f>
        <v/>
      </c>
      <c r="D26" s="7">
        <f>COUNTIFS(Inscrits!$A$2:$A$1000,"&lt;"&amp;A26+1,Inscrits!$I$2:$I$1000,"Oui")</f>
        <v/>
      </c>
      <c r="E26" s="8">
        <f>D26/180</f>
        <v/>
      </c>
      <c r="F26" s="8">
        <f>MAX(0,MIN(1,(A26-DATE(2026,11,16))/(DATE(2026,12,7)-DATE(2026,11,16))))</f>
        <v/>
      </c>
      <c r="G26" s="7">
        <f>IF(A26&gt;TODAY(),"",IF(E26&gt;=F26,"Dans les temps","En retard"))</f>
        <v/>
      </c>
    </row>
    <row r="27">
      <c r="A27" s="20" t="n">
        <v>46339</v>
      </c>
      <c r="B27" s="7">
        <f>COUNTIFS(Inscrits!$A$2:$A$1000,"&gt;="&amp;A27,Inscrits!$A$2:$A$1000,"&lt;"&amp;A27+1)</f>
        <v/>
      </c>
      <c r="C27" s="7">
        <f>COUNTIFS(Inscrits!$A$2:$A$1000,"&lt;"&amp;A27+1)</f>
        <v/>
      </c>
      <c r="D27" s="7">
        <f>COUNTIFS(Inscrits!$A$2:$A$1000,"&lt;"&amp;A27+1,Inscrits!$I$2:$I$1000,"Oui")</f>
        <v/>
      </c>
      <c r="E27" s="8">
        <f>D27/180</f>
        <v/>
      </c>
      <c r="F27" s="8">
        <f>MAX(0,MIN(1,(A27-DATE(2026,11,16))/(DATE(2026,12,7)-DATE(2026,11,16))))</f>
        <v/>
      </c>
      <c r="G27" s="7">
        <f>IF(A27&gt;TODAY(),"",IF(E27&gt;=F27,"Dans les temps","En retard"))</f>
        <v/>
      </c>
    </row>
    <row r="28">
      <c r="A28" s="20" t="n">
        <v>46340</v>
      </c>
      <c r="B28" s="7">
        <f>COUNTIFS(Inscrits!$A$2:$A$1000,"&gt;="&amp;A28,Inscrits!$A$2:$A$1000,"&lt;"&amp;A28+1)</f>
        <v/>
      </c>
      <c r="C28" s="7">
        <f>COUNTIFS(Inscrits!$A$2:$A$1000,"&lt;"&amp;A28+1)</f>
        <v/>
      </c>
      <c r="D28" s="7">
        <f>COUNTIFS(Inscrits!$A$2:$A$1000,"&lt;"&amp;A28+1,Inscrits!$I$2:$I$1000,"Oui")</f>
        <v/>
      </c>
      <c r="E28" s="8">
        <f>D28/180</f>
        <v/>
      </c>
      <c r="F28" s="8">
        <f>MAX(0,MIN(1,(A28-DATE(2026,11,16))/(DATE(2026,12,7)-DATE(2026,11,16))))</f>
        <v/>
      </c>
      <c r="G28" s="7">
        <f>IF(A28&gt;TODAY(),"",IF(E28&gt;=F28,"Dans les temps","En retard"))</f>
        <v/>
      </c>
    </row>
    <row r="29">
      <c r="A29" s="20" t="n">
        <v>46341</v>
      </c>
      <c r="B29" s="7">
        <f>COUNTIFS(Inscrits!$A$2:$A$1000,"&gt;="&amp;A29,Inscrits!$A$2:$A$1000,"&lt;"&amp;A29+1)</f>
        <v/>
      </c>
      <c r="C29" s="7">
        <f>COUNTIFS(Inscrits!$A$2:$A$1000,"&lt;"&amp;A29+1)</f>
        <v/>
      </c>
      <c r="D29" s="7">
        <f>COUNTIFS(Inscrits!$A$2:$A$1000,"&lt;"&amp;A29+1,Inscrits!$I$2:$I$1000,"Oui")</f>
        <v/>
      </c>
      <c r="E29" s="8">
        <f>D29/180</f>
        <v/>
      </c>
      <c r="F29" s="8">
        <f>MAX(0,MIN(1,(A29-DATE(2026,11,16))/(DATE(2026,12,7)-DATE(2026,11,16))))</f>
        <v/>
      </c>
      <c r="G29" s="7">
        <f>IF(A29&gt;TODAY(),"",IF(E29&gt;=F29,"Dans les temps","En retard"))</f>
        <v/>
      </c>
    </row>
    <row r="30">
      <c r="A30" s="17" t="n">
        <v>46342</v>
      </c>
      <c r="B30" s="18">
        <f>COUNTIFS(Inscrits!$A$2:$A$1000,"&gt;="&amp;A30,Inscrits!$A$2:$A$1000,"&lt;"&amp;A30+1)</f>
        <v/>
      </c>
      <c r="C30" s="18">
        <f>COUNTIFS(Inscrits!$A$2:$A$1000,"&lt;"&amp;A30+1)</f>
        <v/>
      </c>
      <c r="D30" s="18">
        <f>COUNTIFS(Inscrits!$A$2:$A$1000,"&lt;"&amp;A30+1,Inscrits!$I$2:$I$1000,"Oui")</f>
        <v/>
      </c>
      <c r="E30" s="19">
        <f>D30/180</f>
        <v/>
      </c>
      <c r="F30" s="19">
        <f>MAX(0,MIN(1,(A30-DATE(2026,11,16))/(DATE(2026,12,7)-DATE(2026,11,16))))</f>
        <v/>
      </c>
      <c r="G30" s="18">
        <f>IF(A30&gt;TODAY(),"",IF(E30&gt;=F30,"Dans les temps","En retard"))</f>
        <v/>
      </c>
    </row>
    <row r="31">
      <c r="A31" s="20" t="n">
        <v>46343</v>
      </c>
      <c r="B31" s="7">
        <f>COUNTIFS(Inscrits!$A$2:$A$1000,"&gt;="&amp;A31,Inscrits!$A$2:$A$1000,"&lt;"&amp;A31+1)</f>
        <v/>
      </c>
      <c r="C31" s="7">
        <f>COUNTIFS(Inscrits!$A$2:$A$1000,"&lt;"&amp;A31+1)</f>
        <v/>
      </c>
      <c r="D31" s="7">
        <f>COUNTIFS(Inscrits!$A$2:$A$1000,"&lt;"&amp;A31+1,Inscrits!$I$2:$I$1000,"Oui")</f>
        <v/>
      </c>
      <c r="E31" s="8">
        <f>D31/180</f>
        <v/>
      </c>
      <c r="F31" s="8">
        <f>MAX(0,MIN(1,(A31-DATE(2026,11,16))/(DATE(2026,12,7)-DATE(2026,11,16))))</f>
        <v/>
      </c>
      <c r="G31" s="7">
        <f>IF(A31&gt;TODAY(),"",IF(E31&gt;=F31,"Dans les temps","En retard"))</f>
        <v/>
      </c>
    </row>
    <row r="32">
      <c r="A32" s="20" t="n">
        <v>46344</v>
      </c>
      <c r="B32" s="7">
        <f>COUNTIFS(Inscrits!$A$2:$A$1000,"&gt;="&amp;A32,Inscrits!$A$2:$A$1000,"&lt;"&amp;A32+1)</f>
        <v/>
      </c>
      <c r="C32" s="7">
        <f>COUNTIFS(Inscrits!$A$2:$A$1000,"&lt;"&amp;A32+1)</f>
        <v/>
      </c>
      <c r="D32" s="7">
        <f>COUNTIFS(Inscrits!$A$2:$A$1000,"&lt;"&amp;A32+1,Inscrits!$I$2:$I$1000,"Oui")</f>
        <v/>
      </c>
      <c r="E32" s="8">
        <f>D32/180</f>
        <v/>
      </c>
      <c r="F32" s="8">
        <f>MAX(0,MIN(1,(A32-DATE(2026,11,16))/(DATE(2026,12,7)-DATE(2026,11,16))))</f>
        <v/>
      </c>
      <c r="G32" s="7">
        <f>IF(A32&gt;TODAY(),"",IF(E32&gt;=F32,"Dans les temps","En retard"))</f>
        <v/>
      </c>
    </row>
    <row r="33">
      <c r="A33" s="20" t="n">
        <v>46345</v>
      </c>
      <c r="B33" s="7">
        <f>COUNTIFS(Inscrits!$A$2:$A$1000,"&gt;="&amp;A33,Inscrits!$A$2:$A$1000,"&lt;"&amp;A33+1)</f>
        <v/>
      </c>
      <c r="C33" s="7">
        <f>COUNTIFS(Inscrits!$A$2:$A$1000,"&lt;"&amp;A33+1)</f>
        <v/>
      </c>
      <c r="D33" s="7">
        <f>COUNTIFS(Inscrits!$A$2:$A$1000,"&lt;"&amp;A33+1,Inscrits!$I$2:$I$1000,"Oui")</f>
        <v/>
      </c>
      <c r="E33" s="8">
        <f>D33/180</f>
        <v/>
      </c>
      <c r="F33" s="8">
        <f>MAX(0,MIN(1,(A33-DATE(2026,11,16))/(DATE(2026,12,7)-DATE(2026,11,16))))</f>
        <v/>
      </c>
      <c r="G33" s="7">
        <f>IF(A33&gt;TODAY(),"",IF(E33&gt;=F33,"Dans les temps","En retard"))</f>
        <v/>
      </c>
    </row>
    <row r="34">
      <c r="A34" s="20" t="n">
        <v>46346</v>
      </c>
      <c r="B34" s="7">
        <f>COUNTIFS(Inscrits!$A$2:$A$1000,"&gt;="&amp;A34,Inscrits!$A$2:$A$1000,"&lt;"&amp;A34+1)</f>
        <v/>
      </c>
      <c r="C34" s="7">
        <f>COUNTIFS(Inscrits!$A$2:$A$1000,"&lt;"&amp;A34+1)</f>
        <v/>
      </c>
      <c r="D34" s="7">
        <f>COUNTIFS(Inscrits!$A$2:$A$1000,"&lt;"&amp;A34+1,Inscrits!$I$2:$I$1000,"Oui")</f>
        <v/>
      </c>
      <c r="E34" s="8">
        <f>D34/180</f>
        <v/>
      </c>
      <c r="F34" s="8">
        <f>MAX(0,MIN(1,(A34-DATE(2026,11,16))/(DATE(2026,12,7)-DATE(2026,11,16))))</f>
        <v/>
      </c>
      <c r="G34" s="7">
        <f>IF(A34&gt;TODAY(),"",IF(E34&gt;=F34,"Dans les temps","En retard"))</f>
        <v/>
      </c>
    </row>
    <row r="35">
      <c r="A35" s="20" t="n">
        <v>46347</v>
      </c>
      <c r="B35" s="7">
        <f>COUNTIFS(Inscrits!$A$2:$A$1000,"&gt;="&amp;A35,Inscrits!$A$2:$A$1000,"&lt;"&amp;A35+1)</f>
        <v/>
      </c>
      <c r="C35" s="7">
        <f>COUNTIFS(Inscrits!$A$2:$A$1000,"&lt;"&amp;A35+1)</f>
        <v/>
      </c>
      <c r="D35" s="7">
        <f>COUNTIFS(Inscrits!$A$2:$A$1000,"&lt;"&amp;A35+1,Inscrits!$I$2:$I$1000,"Oui")</f>
        <v/>
      </c>
      <c r="E35" s="8">
        <f>D35/180</f>
        <v/>
      </c>
      <c r="F35" s="8">
        <f>MAX(0,MIN(1,(A35-DATE(2026,11,16))/(DATE(2026,12,7)-DATE(2026,11,16))))</f>
        <v/>
      </c>
      <c r="G35" s="7">
        <f>IF(A35&gt;TODAY(),"",IF(E35&gt;=F35,"Dans les temps","En retard"))</f>
        <v/>
      </c>
    </row>
    <row r="36">
      <c r="A36" s="20" t="n">
        <v>46348</v>
      </c>
      <c r="B36" s="7">
        <f>COUNTIFS(Inscrits!$A$2:$A$1000,"&gt;="&amp;A36,Inscrits!$A$2:$A$1000,"&lt;"&amp;A36+1)</f>
        <v/>
      </c>
      <c r="C36" s="7">
        <f>COUNTIFS(Inscrits!$A$2:$A$1000,"&lt;"&amp;A36+1)</f>
        <v/>
      </c>
      <c r="D36" s="7">
        <f>COUNTIFS(Inscrits!$A$2:$A$1000,"&lt;"&amp;A36+1,Inscrits!$I$2:$I$1000,"Oui")</f>
        <v/>
      </c>
      <c r="E36" s="8">
        <f>D36/180</f>
        <v/>
      </c>
      <c r="F36" s="8">
        <f>MAX(0,MIN(1,(A36-DATE(2026,11,16))/(DATE(2026,12,7)-DATE(2026,11,16))))</f>
        <v/>
      </c>
      <c r="G36" s="7">
        <f>IF(A36&gt;TODAY(),"",IF(E36&gt;=F36,"Dans les temps","En retard"))</f>
        <v/>
      </c>
    </row>
    <row r="37">
      <c r="A37" s="17" t="n">
        <v>46349</v>
      </c>
      <c r="B37" s="18">
        <f>COUNTIFS(Inscrits!$A$2:$A$1000,"&gt;="&amp;A37,Inscrits!$A$2:$A$1000,"&lt;"&amp;A37+1)</f>
        <v/>
      </c>
      <c r="C37" s="18">
        <f>COUNTIFS(Inscrits!$A$2:$A$1000,"&lt;"&amp;A37+1)</f>
        <v/>
      </c>
      <c r="D37" s="18">
        <f>COUNTIFS(Inscrits!$A$2:$A$1000,"&lt;"&amp;A37+1,Inscrits!$I$2:$I$1000,"Oui")</f>
        <v/>
      </c>
      <c r="E37" s="19">
        <f>D37/180</f>
        <v/>
      </c>
      <c r="F37" s="19">
        <f>MAX(0,MIN(1,(A37-DATE(2026,11,16))/(DATE(2026,12,7)-DATE(2026,11,16))))</f>
        <v/>
      </c>
      <c r="G37" s="18">
        <f>IF(A37&gt;TODAY(),"",IF(E37&gt;=F37,"Dans les temps","En retard"))</f>
        <v/>
      </c>
    </row>
    <row r="38">
      <c r="A38" s="20" t="n">
        <v>46350</v>
      </c>
      <c r="B38" s="7">
        <f>COUNTIFS(Inscrits!$A$2:$A$1000,"&gt;="&amp;A38,Inscrits!$A$2:$A$1000,"&lt;"&amp;A38+1)</f>
        <v/>
      </c>
      <c r="C38" s="7">
        <f>COUNTIFS(Inscrits!$A$2:$A$1000,"&lt;"&amp;A38+1)</f>
        <v/>
      </c>
      <c r="D38" s="7">
        <f>COUNTIFS(Inscrits!$A$2:$A$1000,"&lt;"&amp;A38+1,Inscrits!$I$2:$I$1000,"Oui")</f>
        <v/>
      </c>
      <c r="E38" s="8">
        <f>D38/180</f>
        <v/>
      </c>
      <c r="F38" s="8">
        <f>MAX(0,MIN(1,(A38-DATE(2026,11,16))/(DATE(2026,12,7)-DATE(2026,11,16))))</f>
        <v/>
      </c>
      <c r="G38" s="7">
        <f>IF(A38&gt;TODAY(),"",IF(E38&gt;=F38,"Dans les temps","En retard"))</f>
        <v/>
      </c>
    </row>
    <row r="39">
      <c r="A39" s="20" t="n">
        <v>46351</v>
      </c>
      <c r="B39" s="7">
        <f>COUNTIFS(Inscrits!$A$2:$A$1000,"&gt;="&amp;A39,Inscrits!$A$2:$A$1000,"&lt;"&amp;A39+1)</f>
        <v/>
      </c>
      <c r="C39" s="7">
        <f>COUNTIFS(Inscrits!$A$2:$A$1000,"&lt;"&amp;A39+1)</f>
        <v/>
      </c>
      <c r="D39" s="7">
        <f>COUNTIFS(Inscrits!$A$2:$A$1000,"&lt;"&amp;A39+1,Inscrits!$I$2:$I$1000,"Oui")</f>
        <v/>
      </c>
      <c r="E39" s="8">
        <f>D39/180</f>
        <v/>
      </c>
      <c r="F39" s="8">
        <f>MAX(0,MIN(1,(A39-DATE(2026,11,16))/(DATE(2026,12,7)-DATE(2026,11,16))))</f>
        <v/>
      </c>
      <c r="G39" s="7">
        <f>IF(A39&gt;TODAY(),"",IF(E39&gt;=F39,"Dans les temps","En retard"))</f>
        <v/>
      </c>
    </row>
    <row r="40">
      <c r="A40" s="20" t="n">
        <v>46352</v>
      </c>
      <c r="B40" s="7">
        <f>COUNTIFS(Inscrits!$A$2:$A$1000,"&gt;="&amp;A40,Inscrits!$A$2:$A$1000,"&lt;"&amp;A40+1)</f>
        <v/>
      </c>
      <c r="C40" s="7">
        <f>COUNTIFS(Inscrits!$A$2:$A$1000,"&lt;"&amp;A40+1)</f>
        <v/>
      </c>
      <c r="D40" s="7">
        <f>COUNTIFS(Inscrits!$A$2:$A$1000,"&lt;"&amp;A40+1,Inscrits!$I$2:$I$1000,"Oui")</f>
        <v/>
      </c>
      <c r="E40" s="8">
        <f>D40/180</f>
        <v/>
      </c>
      <c r="F40" s="8">
        <f>MAX(0,MIN(1,(A40-DATE(2026,11,16))/(DATE(2026,12,7)-DATE(2026,11,16))))</f>
        <v/>
      </c>
      <c r="G40" s="7">
        <f>IF(A40&gt;TODAY(),"",IF(E40&gt;=F40,"Dans les temps","En retard"))</f>
        <v/>
      </c>
    </row>
    <row r="41">
      <c r="A41" s="20" t="n">
        <v>46353</v>
      </c>
      <c r="B41" s="7">
        <f>COUNTIFS(Inscrits!$A$2:$A$1000,"&gt;="&amp;A41,Inscrits!$A$2:$A$1000,"&lt;"&amp;A41+1)</f>
        <v/>
      </c>
      <c r="C41" s="7">
        <f>COUNTIFS(Inscrits!$A$2:$A$1000,"&lt;"&amp;A41+1)</f>
        <v/>
      </c>
      <c r="D41" s="7">
        <f>COUNTIFS(Inscrits!$A$2:$A$1000,"&lt;"&amp;A41+1,Inscrits!$I$2:$I$1000,"Oui")</f>
        <v/>
      </c>
      <c r="E41" s="8">
        <f>D41/180</f>
        <v/>
      </c>
      <c r="F41" s="8">
        <f>MAX(0,MIN(1,(A41-DATE(2026,11,16))/(DATE(2026,12,7)-DATE(2026,11,16))))</f>
        <v/>
      </c>
      <c r="G41" s="7">
        <f>IF(A41&gt;TODAY(),"",IF(E41&gt;=F41,"Dans les temps","En retard"))</f>
        <v/>
      </c>
    </row>
    <row r="42">
      <c r="A42" s="20" t="n">
        <v>46354</v>
      </c>
      <c r="B42" s="7">
        <f>COUNTIFS(Inscrits!$A$2:$A$1000,"&gt;="&amp;A42,Inscrits!$A$2:$A$1000,"&lt;"&amp;A42+1)</f>
        <v/>
      </c>
      <c r="C42" s="7">
        <f>COUNTIFS(Inscrits!$A$2:$A$1000,"&lt;"&amp;A42+1)</f>
        <v/>
      </c>
      <c r="D42" s="7">
        <f>COUNTIFS(Inscrits!$A$2:$A$1000,"&lt;"&amp;A42+1,Inscrits!$I$2:$I$1000,"Oui")</f>
        <v/>
      </c>
      <c r="E42" s="8">
        <f>D42/180</f>
        <v/>
      </c>
      <c r="F42" s="8">
        <f>MAX(0,MIN(1,(A42-DATE(2026,11,16))/(DATE(2026,12,7)-DATE(2026,11,16))))</f>
        <v/>
      </c>
      <c r="G42" s="7">
        <f>IF(A42&gt;TODAY(),"",IF(E42&gt;=F42,"Dans les temps","En retard"))</f>
        <v/>
      </c>
    </row>
    <row r="43">
      <c r="A43" s="20" t="n">
        <v>46355</v>
      </c>
      <c r="B43" s="7">
        <f>COUNTIFS(Inscrits!$A$2:$A$1000,"&gt;="&amp;A43,Inscrits!$A$2:$A$1000,"&lt;"&amp;A43+1)</f>
        <v/>
      </c>
      <c r="C43" s="7">
        <f>COUNTIFS(Inscrits!$A$2:$A$1000,"&lt;"&amp;A43+1)</f>
        <v/>
      </c>
      <c r="D43" s="7">
        <f>COUNTIFS(Inscrits!$A$2:$A$1000,"&lt;"&amp;A43+1,Inscrits!$I$2:$I$1000,"Oui")</f>
        <v/>
      </c>
      <c r="E43" s="8">
        <f>D43/180</f>
        <v/>
      </c>
      <c r="F43" s="8">
        <f>MAX(0,MIN(1,(A43-DATE(2026,11,16))/(DATE(2026,12,7)-DATE(2026,11,16))))</f>
        <v/>
      </c>
      <c r="G43" s="7">
        <f>IF(A43&gt;TODAY(),"",IF(E43&gt;=F43,"Dans les temps","En retard"))</f>
        <v/>
      </c>
    </row>
    <row r="44">
      <c r="A44" s="17" t="n">
        <v>46356</v>
      </c>
      <c r="B44" s="18">
        <f>COUNTIFS(Inscrits!$A$2:$A$1000,"&gt;="&amp;A44,Inscrits!$A$2:$A$1000,"&lt;"&amp;A44+1)</f>
        <v/>
      </c>
      <c r="C44" s="18">
        <f>COUNTIFS(Inscrits!$A$2:$A$1000,"&lt;"&amp;A44+1)</f>
        <v/>
      </c>
      <c r="D44" s="18">
        <f>COUNTIFS(Inscrits!$A$2:$A$1000,"&lt;"&amp;A44+1,Inscrits!$I$2:$I$1000,"Oui")</f>
        <v/>
      </c>
      <c r="E44" s="19">
        <f>D44/180</f>
        <v/>
      </c>
      <c r="F44" s="19">
        <f>MAX(0,MIN(1,(A44-DATE(2026,11,16))/(DATE(2026,12,7)-DATE(2026,11,16))))</f>
        <v/>
      </c>
      <c r="G44" s="18">
        <f>IF(A44&gt;TODAY(),"",IF(E44&gt;=F44,"Dans les temps","En retard"))</f>
        <v/>
      </c>
    </row>
    <row r="45">
      <c r="A45" s="20" t="n">
        <v>46357</v>
      </c>
      <c r="B45" s="7">
        <f>COUNTIFS(Inscrits!$A$2:$A$1000,"&gt;="&amp;A45,Inscrits!$A$2:$A$1000,"&lt;"&amp;A45+1)</f>
        <v/>
      </c>
      <c r="C45" s="7">
        <f>COUNTIFS(Inscrits!$A$2:$A$1000,"&lt;"&amp;A45+1)</f>
        <v/>
      </c>
      <c r="D45" s="7">
        <f>COUNTIFS(Inscrits!$A$2:$A$1000,"&lt;"&amp;A45+1,Inscrits!$I$2:$I$1000,"Oui")</f>
        <v/>
      </c>
      <c r="E45" s="8">
        <f>D45/180</f>
        <v/>
      </c>
      <c r="F45" s="8">
        <f>MAX(0,MIN(1,(A45-DATE(2026,11,16))/(DATE(2026,12,7)-DATE(2026,11,16))))</f>
        <v/>
      </c>
      <c r="G45" s="7">
        <f>IF(A45&gt;TODAY(),"",IF(E45&gt;=F45,"Dans les temps","En retard"))</f>
        <v/>
      </c>
    </row>
    <row r="46">
      <c r="A46" s="20" t="n">
        <v>46358</v>
      </c>
      <c r="B46" s="7">
        <f>COUNTIFS(Inscrits!$A$2:$A$1000,"&gt;="&amp;A46,Inscrits!$A$2:$A$1000,"&lt;"&amp;A46+1)</f>
        <v/>
      </c>
      <c r="C46" s="7">
        <f>COUNTIFS(Inscrits!$A$2:$A$1000,"&lt;"&amp;A46+1)</f>
        <v/>
      </c>
      <c r="D46" s="7">
        <f>COUNTIFS(Inscrits!$A$2:$A$1000,"&lt;"&amp;A46+1,Inscrits!$I$2:$I$1000,"Oui")</f>
        <v/>
      </c>
      <c r="E46" s="8">
        <f>D46/180</f>
        <v/>
      </c>
      <c r="F46" s="8">
        <f>MAX(0,MIN(1,(A46-DATE(2026,11,16))/(DATE(2026,12,7)-DATE(2026,11,16))))</f>
        <v/>
      </c>
      <c r="G46" s="7">
        <f>IF(A46&gt;TODAY(),"",IF(E46&gt;=F46,"Dans les temps","En retard"))</f>
        <v/>
      </c>
    </row>
    <row r="47">
      <c r="A47" s="20" t="n">
        <v>46359</v>
      </c>
      <c r="B47" s="7">
        <f>COUNTIFS(Inscrits!$A$2:$A$1000,"&gt;="&amp;A47,Inscrits!$A$2:$A$1000,"&lt;"&amp;A47+1)</f>
        <v/>
      </c>
      <c r="C47" s="7">
        <f>COUNTIFS(Inscrits!$A$2:$A$1000,"&lt;"&amp;A47+1)</f>
        <v/>
      </c>
      <c r="D47" s="7">
        <f>COUNTIFS(Inscrits!$A$2:$A$1000,"&lt;"&amp;A47+1,Inscrits!$I$2:$I$1000,"Oui")</f>
        <v/>
      </c>
      <c r="E47" s="8">
        <f>D47/180</f>
        <v/>
      </c>
      <c r="F47" s="8">
        <f>MAX(0,MIN(1,(A47-DATE(2026,11,16))/(DATE(2026,12,7)-DATE(2026,11,16))))</f>
        <v/>
      </c>
      <c r="G47" s="7">
        <f>IF(A47&gt;TODAY(),"",IF(E47&gt;=F47,"Dans les temps","En retard"))</f>
        <v/>
      </c>
    </row>
    <row r="48">
      <c r="A48" s="20" t="n">
        <v>46360</v>
      </c>
      <c r="B48" s="7">
        <f>COUNTIFS(Inscrits!$A$2:$A$1000,"&gt;="&amp;A48,Inscrits!$A$2:$A$1000,"&lt;"&amp;A48+1)</f>
        <v/>
      </c>
      <c r="C48" s="7">
        <f>COUNTIFS(Inscrits!$A$2:$A$1000,"&lt;"&amp;A48+1)</f>
        <v/>
      </c>
      <c r="D48" s="7">
        <f>COUNTIFS(Inscrits!$A$2:$A$1000,"&lt;"&amp;A48+1,Inscrits!$I$2:$I$1000,"Oui")</f>
        <v/>
      </c>
      <c r="E48" s="8">
        <f>D48/180</f>
        <v/>
      </c>
      <c r="F48" s="8">
        <f>MAX(0,MIN(1,(A48-DATE(2026,11,16))/(DATE(2026,12,7)-DATE(2026,11,16))))</f>
        <v/>
      </c>
      <c r="G48" s="7">
        <f>IF(A48&gt;TODAY(),"",IF(E48&gt;=F48,"Dans les temps","En retard"))</f>
        <v/>
      </c>
    </row>
    <row r="49">
      <c r="A49" s="20" t="n">
        <v>46361</v>
      </c>
      <c r="B49" s="7">
        <f>COUNTIFS(Inscrits!$A$2:$A$1000,"&gt;="&amp;A49,Inscrits!$A$2:$A$1000,"&lt;"&amp;A49+1)</f>
        <v/>
      </c>
      <c r="C49" s="7">
        <f>COUNTIFS(Inscrits!$A$2:$A$1000,"&lt;"&amp;A49+1)</f>
        <v/>
      </c>
      <c r="D49" s="7">
        <f>COUNTIFS(Inscrits!$A$2:$A$1000,"&lt;"&amp;A49+1,Inscrits!$I$2:$I$1000,"Oui")</f>
        <v/>
      </c>
      <c r="E49" s="8">
        <f>D49/180</f>
        <v/>
      </c>
      <c r="F49" s="8">
        <f>MAX(0,MIN(1,(A49-DATE(2026,11,16))/(DATE(2026,12,7)-DATE(2026,11,16))))</f>
        <v/>
      </c>
      <c r="G49" s="7">
        <f>IF(A49&gt;TODAY(),"",IF(E49&gt;=F49,"Dans les temps","En retard"))</f>
        <v/>
      </c>
    </row>
    <row r="50">
      <c r="A50" s="20" t="n">
        <v>46362</v>
      </c>
      <c r="B50" s="7">
        <f>COUNTIFS(Inscrits!$A$2:$A$1000,"&gt;="&amp;A50,Inscrits!$A$2:$A$1000,"&lt;"&amp;A50+1)</f>
        <v/>
      </c>
      <c r="C50" s="7">
        <f>COUNTIFS(Inscrits!$A$2:$A$1000,"&lt;"&amp;A50+1)</f>
        <v/>
      </c>
      <c r="D50" s="7">
        <f>COUNTIFS(Inscrits!$A$2:$A$1000,"&lt;"&amp;A50+1,Inscrits!$I$2:$I$1000,"Oui")</f>
        <v/>
      </c>
      <c r="E50" s="8">
        <f>D50/180</f>
        <v/>
      </c>
      <c r="F50" s="8">
        <f>MAX(0,MIN(1,(A50-DATE(2026,11,16))/(DATE(2026,12,7)-DATE(2026,11,16))))</f>
        <v/>
      </c>
      <c r="G50" s="7">
        <f>IF(A50&gt;TODAY(),"",IF(E50&gt;=F50,"Dans les temps","En retard"))</f>
        <v/>
      </c>
    </row>
    <row r="51">
      <c r="A51" s="17" t="n">
        <v>46363</v>
      </c>
      <c r="B51" s="18">
        <f>COUNTIFS(Inscrits!$A$2:$A$1000,"&gt;="&amp;A51,Inscrits!$A$2:$A$1000,"&lt;"&amp;A51+1)</f>
        <v/>
      </c>
      <c r="C51" s="18">
        <f>COUNTIFS(Inscrits!$A$2:$A$1000,"&lt;"&amp;A51+1)</f>
        <v/>
      </c>
      <c r="D51" s="18">
        <f>COUNTIFS(Inscrits!$A$2:$A$1000,"&lt;"&amp;A51+1,Inscrits!$I$2:$I$1000,"Oui")</f>
        <v/>
      </c>
      <c r="E51" s="19">
        <f>D51/180</f>
        <v/>
      </c>
      <c r="F51" s="19">
        <f>MAX(0,MIN(1,(A51-DATE(2026,11,16))/(DATE(2026,12,7)-DATE(2026,11,16))))</f>
        <v/>
      </c>
      <c r="G51" s="18">
        <f>IF(A51&gt;TODAY(),"",IF(E51&gt;=F51,"Dans les temps","En retard"))</f>
        <v/>
      </c>
    </row>
    <row r="52">
      <c r="A52" s="20" t="n">
        <v>46364</v>
      </c>
      <c r="B52" s="7">
        <f>COUNTIFS(Inscrits!$A$2:$A$1000,"&gt;="&amp;A52,Inscrits!$A$2:$A$1000,"&lt;"&amp;A52+1)</f>
        <v/>
      </c>
      <c r="C52" s="7">
        <f>COUNTIFS(Inscrits!$A$2:$A$1000,"&lt;"&amp;A52+1)</f>
        <v/>
      </c>
      <c r="D52" s="7">
        <f>COUNTIFS(Inscrits!$A$2:$A$1000,"&lt;"&amp;A52+1,Inscrits!$I$2:$I$1000,"Oui")</f>
        <v/>
      </c>
      <c r="E52" s="8">
        <f>D52/180</f>
        <v/>
      </c>
      <c r="F52" s="8">
        <f>MAX(0,MIN(1,(A52-DATE(2026,11,16))/(DATE(2026,12,7)-DATE(2026,11,16))))</f>
        <v/>
      </c>
      <c r="G52" s="7">
        <f>IF(A52&gt;TODAY(),"",IF(E52&gt;=F52,"Dans les temps","En retard"))</f>
        <v/>
      </c>
    </row>
    <row r="53">
      <c r="A53" s="20" t="n">
        <v>46365</v>
      </c>
      <c r="B53" s="7">
        <f>COUNTIFS(Inscrits!$A$2:$A$1000,"&gt;="&amp;A53,Inscrits!$A$2:$A$1000,"&lt;"&amp;A53+1)</f>
        <v/>
      </c>
      <c r="C53" s="7">
        <f>COUNTIFS(Inscrits!$A$2:$A$1000,"&lt;"&amp;A53+1)</f>
        <v/>
      </c>
      <c r="D53" s="7">
        <f>COUNTIFS(Inscrits!$A$2:$A$1000,"&lt;"&amp;A53+1,Inscrits!$I$2:$I$1000,"Oui")</f>
        <v/>
      </c>
      <c r="E53" s="8">
        <f>D53/180</f>
        <v/>
      </c>
      <c r="F53" s="8">
        <f>MAX(0,MIN(1,(A53-DATE(2026,11,16))/(DATE(2026,12,7)-DATE(2026,11,16))))</f>
        <v/>
      </c>
      <c r="G53" s="7">
        <f>IF(A53&gt;TODAY(),"",IF(E53&gt;=F53,"Dans les temps","En retard"))</f>
        <v/>
      </c>
    </row>
    <row r="54">
      <c r="A54" s="20" t="n">
        <v>46366</v>
      </c>
      <c r="B54" s="7">
        <f>COUNTIFS(Inscrits!$A$2:$A$1000,"&gt;="&amp;A54,Inscrits!$A$2:$A$1000,"&lt;"&amp;A54+1)</f>
        <v/>
      </c>
      <c r="C54" s="7">
        <f>COUNTIFS(Inscrits!$A$2:$A$1000,"&lt;"&amp;A54+1)</f>
        <v/>
      </c>
      <c r="D54" s="7">
        <f>COUNTIFS(Inscrits!$A$2:$A$1000,"&lt;"&amp;A54+1,Inscrits!$I$2:$I$1000,"Oui")</f>
        <v/>
      </c>
      <c r="E54" s="8">
        <f>D54/180</f>
        <v/>
      </c>
      <c r="F54" s="8">
        <f>MAX(0,MIN(1,(A54-DATE(2026,11,16))/(DATE(2026,12,7)-DATE(2026,11,16))))</f>
        <v/>
      </c>
      <c r="G54" s="7">
        <f>IF(A54&gt;TODAY(),"",IF(E54&gt;=F54,"Dans les temps","En retard"))</f>
        <v/>
      </c>
    </row>
  </sheetData>
  <conditionalFormatting sqref="G2:G54">
    <cfRule type="cellIs" priority="1" operator="equal" dxfId="0">
      <formula>"En retard"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6" customWidth="1" min="4" max="4"/>
    <col width="17" customWidth="1" min="5" max="5"/>
    <col width="24" customWidth="1" min="6" max="6"/>
    <col width="16" customWidth="1" min="7" max="7"/>
    <col width="18" customWidth="1" min="8" max="8"/>
    <col width="12" customWidth="1" min="9" max="9"/>
    <col width="28" customWidth="1" min="10" max="10"/>
    <col width="24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</cols>
  <sheetData>
    <row r="1">
      <c r="A1" s="5" t="inlineStr">
        <is>
          <t>Date d'inscription</t>
        </is>
      </c>
      <c r="B1" s="5" t="inlineStr">
        <is>
          <t>Prénom</t>
        </is>
      </c>
      <c r="C1" s="5" t="inlineStr">
        <is>
          <t>Nom</t>
        </is>
      </c>
      <c r="D1" s="5" t="inlineStr">
        <is>
          <t>E-mail</t>
        </is>
      </c>
      <c r="E1" s="5" t="inlineStr">
        <is>
          <t>Téléphone</t>
        </is>
      </c>
      <c r="F1" s="5" t="inlineStr">
        <is>
          <t>Entreprise, média ou structure</t>
        </is>
      </c>
      <c r="G1" s="5" t="inlineStr">
        <is>
          <t>Fonction</t>
        </is>
      </c>
      <c r="H1" s="5" t="inlineStr">
        <is>
          <t>Profil</t>
        </is>
      </c>
      <c r="I1" s="5" t="inlineStr">
        <is>
          <t>Présence annoncée</t>
        </is>
      </c>
      <c r="J1" s="5" t="inlineStr">
        <is>
          <t>Demande d'interview</t>
        </is>
      </c>
      <c r="K1" s="5" t="inlineStr">
        <is>
          <t>Contrainte ou besoin</t>
        </is>
      </c>
      <c r="L1" s="5" t="inlineStr">
        <is>
          <t>Droit à l'image</t>
        </is>
      </c>
      <c r="M1" s="5" t="inlineStr">
        <is>
          <t>Accord données</t>
        </is>
      </c>
      <c r="N1" s="21" t="inlineStr">
        <is>
          <t>Confirmation envoyée</t>
        </is>
      </c>
      <c r="O1" s="21" t="inlineStr">
        <is>
          <t>Présent le 10 déc.</t>
        </is>
      </c>
      <c r="P1" s="21" t="inlineStr">
        <is>
          <t>Notes</t>
        </is>
      </c>
    </row>
    <row r="2">
      <c r="A2" s="22" t="n"/>
    </row>
    <row r="3">
      <c r="A3" s="22" t="n"/>
    </row>
    <row r="4">
      <c r="A4" s="22" t="n"/>
    </row>
    <row r="5">
      <c r="A5" s="22" t="n"/>
    </row>
    <row r="6">
      <c r="A6" s="22" t="n"/>
    </row>
    <row r="7">
      <c r="A7" s="22" t="n"/>
    </row>
    <row r="8">
      <c r="A8" s="22" t="n"/>
    </row>
    <row r="9">
      <c r="A9" s="22" t="n"/>
    </row>
    <row r="10">
      <c r="A10" s="22" t="n"/>
    </row>
    <row r="11">
      <c r="A11" s="22" t="n"/>
    </row>
    <row r="12">
      <c r="A12" s="22" t="n"/>
    </row>
    <row r="13">
      <c r="A13" s="22" t="n"/>
    </row>
    <row r="14">
      <c r="A14" s="22" t="n"/>
    </row>
    <row r="15">
      <c r="A15" s="22" t="n"/>
    </row>
    <row r="16">
      <c r="A16" s="22" t="n"/>
    </row>
    <row r="17">
      <c r="A17" s="22" t="n"/>
    </row>
    <row r="18">
      <c r="A18" s="22" t="n"/>
    </row>
    <row r="19">
      <c r="A19" s="22" t="n"/>
    </row>
    <row r="20">
      <c r="A20" s="22" t="n"/>
    </row>
    <row r="21">
      <c r="A21" s="22" t="n"/>
    </row>
    <row r="22">
      <c r="A22" s="22" t="n"/>
    </row>
    <row r="23">
      <c r="A23" s="22" t="n"/>
    </row>
    <row r="24">
      <c r="A24" s="22" t="n"/>
    </row>
    <row r="25">
      <c r="A25" s="22" t="n"/>
    </row>
    <row r="26">
      <c r="A26" s="22" t="n"/>
    </row>
    <row r="27">
      <c r="A27" s="22" t="n"/>
    </row>
    <row r="28">
      <c r="A28" s="22" t="n"/>
    </row>
    <row r="29">
      <c r="A29" s="22" t="n"/>
    </row>
    <row r="30">
      <c r="A30" s="22" t="n"/>
    </row>
    <row r="31">
      <c r="A31" s="22" t="n"/>
    </row>
    <row r="32">
      <c r="A32" s="22" t="n"/>
    </row>
    <row r="33">
      <c r="A33" s="22" t="n"/>
    </row>
    <row r="34">
      <c r="A34" s="22" t="n"/>
    </row>
    <row r="35">
      <c r="A35" s="22" t="n"/>
    </row>
    <row r="36">
      <c r="A36" s="22" t="n"/>
    </row>
    <row r="37">
      <c r="A37" s="22" t="n"/>
    </row>
    <row r="38">
      <c r="A38" s="22" t="n"/>
    </row>
    <row r="39">
      <c r="A39" s="22" t="n"/>
    </row>
    <row r="40">
      <c r="A40" s="22" t="n"/>
    </row>
    <row r="41">
      <c r="A41" s="22" t="n"/>
    </row>
    <row r="42">
      <c r="A42" s="22" t="n"/>
    </row>
    <row r="43">
      <c r="A43" s="22" t="n"/>
    </row>
    <row r="44">
      <c r="A44" s="22" t="n"/>
    </row>
    <row r="45">
      <c r="A45" s="22" t="n"/>
    </row>
    <row r="46">
      <c r="A46" s="22" t="n"/>
    </row>
    <row r="47">
      <c r="A47" s="22" t="n"/>
    </row>
    <row r="48">
      <c r="A48" s="22" t="n"/>
    </row>
    <row r="49">
      <c r="A49" s="22" t="n"/>
    </row>
    <row r="50">
      <c r="A50" s="22" t="n"/>
    </row>
    <row r="51">
      <c r="A51" s="22" t="n"/>
    </row>
    <row r="52">
      <c r="A52" s="22" t="n"/>
    </row>
    <row r="53">
      <c r="A53" s="22" t="n"/>
    </row>
    <row r="54">
      <c r="A54" s="22" t="n"/>
    </row>
    <row r="55">
      <c r="A55" s="22" t="n"/>
    </row>
    <row r="56">
      <c r="A56" s="22" t="n"/>
    </row>
    <row r="57">
      <c r="A57" s="22" t="n"/>
    </row>
    <row r="58">
      <c r="A58" s="22" t="n"/>
    </row>
    <row r="59">
      <c r="A59" s="22" t="n"/>
    </row>
    <row r="60">
      <c r="A60" s="22" t="n"/>
    </row>
    <row r="61">
      <c r="A61" s="22" t="n"/>
    </row>
    <row r="62">
      <c r="A62" s="22" t="n"/>
    </row>
    <row r="63">
      <c r="A63" s="22" t="n"/>
    </row>
    <row r="64">
      <c r="A64" s="22" t="n"/>
    </row>
    <row r="65">
      <c r="A65" s="22" t="n"/>
    </row>
    <row r="66">
      <c r="A66" s="22" t="n"/>
    </row>
    <row r="67">
      <c r="A67" s="22" t="n"/>
    </row>
    <row r="68">
      <c r="A68" s="22" t="n"/>
    </row>
    <row r="69">
      <c r="A69" s="22" t="n"/>
    </row>
    <row r="70">
      <c r="A70" s="22" t="n"/>
    </row>
    <row r="71">
      <c r="A71" s="22" t="n"/>
    </row>
    <row r="72">
      <c r="A72" s="22" t="n"/>
    </row>
    <row r="73">
      <c r="A73" s="22" t="n"/>
    </row>
    <row r="74">
      <c r="A74" s="22" t="n"/>
    </row>
    <row r="75">
      <c r="A75" s="22" t="n"/>
    </row>
    <row r="76">
      <c r="A76" s="22" t="n"/>
    </row>
    <row r="77">
      <c r="A77" s="22" t="n"/>
    </row>
    <row r="78">
      <c r="A78" s="22" t="n"/>
    </row>
    <row r="79">
      <c r="A79" s="22" t="n"/>
    </row>
    <row r="80">
      <c r="A80" s="22" t="n"/>
    </row>
    <row r="81">
      <c r="A81" s="22" t="n"/>
    </row>
    <row r="82">
      <c r="A82" s="22" t="n"/>
    </row>
    <row r="83">
      <c r="A83" s="22" t="n"/>
    </row>
    <row r="84">
      <c r="A84" s="22" t="n"/>
    </row>
    <row r="85">
      <c r="A85" s="22" t="n"/>
    </row>
    <row r="86">
      <c r="A86" s="22" t="n"/>
    </row>
    <row r="87">
      <c r="A87" s="22" t="n"/>
    </row>
    <row r="88">
      <c r="A88" s="22" t="n"/>
    </row>
    <row r="89">
      <c r="A89" s="22" t="n"/>
    </row>
    <row r="90">
      <c r="A90" s="22" t="n"/>
    </row>
    <row r="91">
      <c r="A91" s="22" t="n"/>
    </row>
    <row r="92">
      <c r="A92" s="22" t="n"/>
    </row>
    <row r="93">
      <c r="A93" s="22" t="n"/>
    </row>
    <row r="94">
      <c r="A94" s="22" t="n"/>
    </row>
    <row r="95">
      <c r="A95" s="22" t="n"/>
    </row>
    <row r="96">
      <c r="A96" s="22" t="n"/>
    </row>
    <row r="97">
      <c r="A97" s="22" t="n"/>
    </row>
    <row r="98">
      <c r="A98" s="22" t="n"/>
    </row>
    <row r="99">
      <c r="A99" s="22" t="n"/>
    </row>
    <row r="100">
      <c r="A100" s="22" t="n"/>
    </row>
    <row r="101">
      <c r="A101" s="22" t="n"/>
    </row>
    <row r="102">
      <c r="A102" s="22" t="n"/>
    </row>
    <row r="103">
      <c r="A103" s="22" t="n"/>
    </row>
    <row r="104">
      <c r="A104" s="22" t="n"/>
    </row>
    <row r="105">
      <c r="A105" s="22" t="n"/>
    </row>
    <row r="106">
      <c r="A106" s="22" t="n"/>
    </row>
    <row r="107">
      <c r="A107" s="22" t="n"/>
    </row>
    <row r="108">
      <c r="A108" s="22" t="n"/>
    </row>
    <row r="109">
      <c r="A109" s="22" t="n"/>
    </row>
    <row r="110">
      <c r="A110" s="22" t="n"/>
    </row>
    <row r="111">
      <c r="A111" s="22" t="n"/>
    </row>
    <row r="112">
      <c r="A112" s="22" t="n"/>
    </row>
    <row r="113">
      <c r="A113" s="22" t="n"/>
    </row>
    <row r="114">
      <c r="A114" s="22" t="n"/>
    </row>
    <row r="115">
      <c r="A115" s="22" t="n"/>
    </row>
    <row r="116">
      <c r="A116" s="22" t="n"/>
    </row>
    <row r="117">
      <c r="A117" s="22" t="n"/>
    </row>
    <row r="118">
      <c r="A118" s="22" t="n"/>
    </row>
    <row r="119">
      <c r="A119" s="22" t="n"/>
    </row>
    <row r="120">
      <c r="A120" s="22" t="n"/>
    </row>
    <row r="121">
      <c r="A121" s="22" t="n"/>
    </row>
    <row r="122">
      <c r="A122" s="22" t="n"/>
    </row>
    <row r="123">
      <c r="A123" s="22" t="n"/>
    </row>
    <row r="124">
      <c r="A124" s="22" t="n"/>
    </row>
    <row r="125">
      <c r="A125" s="22" t="n"/>
    </row>
    <row r="126">
      <c r="A126" s="22" t="n"/>
    </row>
    <row r="127">
      <c r="A127" s="22" t="n"/>
    </row>
    <row r="128">
      <c r="A128" s="22" t="n"/>
    </row>
    <row r="129">
      <c r="A129" s="22" t="n"/>
    </row>
    <row r="130">
      <c r="A130" s="22" t="n"/>
    </row>
    <row r="131">
      <c r="A131" s="22" t="n"/>
    </row>
    <row r="132">
      <c r="A132" s="22" t="n"/>
    </row>
    <row r="133">
      <c r="A133" s="22" t="n"/>
    </row>
    <row r="134">
      <c r="A134" s="22" t="n"/>
    </row>
    <row r="135">
      <c r="A135" s="22" t="n"/>
    </row>
    <row r="136">
      <c r="A136" s="22" t="n"/>
    </row>
    <row r="137">
      <c r="A137" s="22" t="n"/>
    </row>
    <row r="138">
      <c r="A138" s="22" t="n"/>
    </row>
    <row r="139">
      <c r="A139" s="22" t="n"/>
    </row>
    <row r="140">
      <c r="A140" s="22" t="n"/>
    </row>
    <row r="141">
      <c r="A141" s="22" t="n"/>
    </row>
    <row r="142">
      <c r="A142" s="22" t="n"/>
    </row>
    <row r="143">
      <c r="A143" s="22" t="n"/>
    </row>
    <row r="144">
      <c r="A144" s="22" t="n"/>
    </row>
    <row r="145">
      <c r="A145" s="22" t="n"/>
    </row>
    <row r="146">
      <c r="A146" s="22" t="n"/>
    </row>
    <row r="147">
      <c r="A147" s="22" t="n"/>
    </row>
    <row r="148">
      <c r="A148" s="22" t="n"/>
    </row>
    <row r="149">
      <c r="A149" s="22" t="n"/>
    </row>
    <row r="150">
      <c r="A150" s="22" t="n"/>
    </row>
    <row r="151">
      <c r="A151" s="22" t="n"/>
    </row>
    <row r="152">
      <c r="A152" s="22" t="n"/>
    </row>
    <row r="153">
      <c r="A153" s="22" t="n"/>
    </row>
    <row r="154">
      <c r="A154" s="22" t="n"/>
    </row>
    <row r="155">
      <c r="A155" s="22" t="n"/>
    </row>
    <row r="156">
      <c r="A156" s="22" t="n"/>
    </row>
    <row r="157">
      <c r="A157" s="22" t="n"/>
    </row>
    <row r="158">
      <c r="A158" s="22" t="n"/>
    </row>
    <row r="159">
      <c r="A159" s="22" t="n"/>
    </row>
    <row r="160">
      <c r="A160" s="22" t="n"/>
    </row>
    <row r="161">
      <c r="A161" s="22" t="n"/>
    </row>
    <row r="162">
      <c r="A162" s="22" t="n"/>
    </row>
    <row r="163">
      <c r="A163" s="22" t="n"/>
    </row>
    <row r="164">
      <c r="A164" s="22" t="n"/>
    </row>
    <row r="165">
      <c r="A165" s="22" t="n"/>
    </row>
    <row r="166">
      <c r="A166" s="22" t="n"/>
    </row>
    <row r="167">
      <c r="A167" s="22" t="n"/>
    </row>
    <row r="168">
      <c r="A168" s="22" t="n"/>
    </row>
    <row r="169">
      <c r="A169" s="22" t="n"/>
    </row>
    <row r="170">
      <c r="A170" s="22" t="n"/>
    </row>
    <row r="171">
      <c r="A171" s="22" t="n"/>
    </row>
    <row r="172">
      <c r="A172" s="22" t="n"/>
    </row>
    <row r="173">
      <c r="A173" s="22" t="n"/>
    </row>
    <row r="174">
      <c r="A174" s="22" t="n"/>
    </row>
    <row r="175">
      <c r="A175" s="22" t="n"/>
    </row>
    <row r="176">
      <c r="A176" s="22" t="n"/>
    </row>
    <row r="177">
      <c r="A177" s="22" t="n"/>
    </row>
    <row r="178">
      <c r="A178" s="22" t="n"/>
    </row>
    <row r="179">
      <c r="A179" s="22" t="n"/>
    </row>
    <row r="180">
      <c r="A180" s="22" t="n"/>
    </row>
    <row r="181">
      <c r="A181" s="22" t="n"/>
    </row>
    <row r="182">
      <c r="A182" s="22" t="n"/>
    </row>
    <row r="183">
      <c r="A183" s="22" t="n"/>
    </row>
    <row r="184">
      <c r="A184" s="22" t="n"/>
    </row>
    <row r="185">
      <c r="A185" s="22" t="n"/>
    </row>
    <row r="186">
      <c r="A186" s="22" t="n"/>
    </row>
    <row r="187">
      <c r="A187" s="22" t="n"/>
    </row>
    <row r="188">
      <c r="A188" s="22" t="n"/>
    </row>
    <row r="189">
      <c r="A189" s="22" t="n"/>
    </row>
    <row r="190">
      <c r="A190" s="22" t="n"/>
    </row>
    <row r="191">
      <c r="A191" s="22" t="n"/>
    </row>
    <row r="192">
      <c r="A192" s="22" t="n"/>
    </row>
    <row r="193">
      <c r="A193" s="22" t="n"/>
    </row>
    <row r="194">
      <c r="A194" s="22" t="n"/>
    </row>
    <row r="195">
      <c r="A195" s="22" t="n"/>
    </row>
    <row r="196">
      <c r="A196" s="22" t="n"/>
    </row>
    <row r="197">
      <c r="A197" s="22" t="n"/>
    </row>
    <row r="198">
      <c r="A198" s="22" t="n"/>
    </row>
    <row r="199">
      <c r="A199" s="22" t="n"/>
    </row>
    <row r="200">
      <c r="A200" s="22" t="n"/>
    </row>
    <row r="201">
      <c r="A201" s="22" t="n"/>
    </row>
    <row r="202">
      <c r="A202" s="22" t="n"/>
    </row>
    <row r="203">
      <c r="A203" s="22" t="n"/>
    </row>
    <row r="204">
      <c r="A204" s="22" t="n"/>
    </row>
    <row r="205">
      <c r="A205" s="22" t="n"/>
    </row>
    <row r="206">
      <c r="A206" s="22" t="n"/>
    </row>
    <row r="207">
      <c r="A207" s="22" t="n"/>
    </row>
    <row r="208">
      <c r="A208" s="22" t="n"/>
    </row>
    <row r="209">
      <c r="A209" s="22" t="n"/>
    </row>
    <row r="210">
      <c r="A210" s="22" t="n"/>
    </row>
    <row r="211">
      <c r="A211" s="22" t="n"/>
    </row>
    <row r="212">
      <c r="A212" s="22" t="n"/>
    </row>
    <row r="213">
      <c r="A213" s="22" t="n"/>
    </row>
    <row r="214">
      <c r="A214" s="22" t="n"/>
    </row>
    <row r="215">
      <c r="A215" s="22" t="n"/>
    </row>
    <row r="216">
      <c r="A216" s="22" t="n"/>
    </row>
    <row r="217">
      <c r="A217" s="22" t="n"/>
    </row>
    <row r="218">
      <c r="A218" s="22" t="n"/>
    </row>
    <row r="219">
      <c r="A219" s="22" t="n"/>
    </row>
    <row r="220">
      <c r="A220" s="22" t="n"/>
    </row>
    <row r="221">
      <c r="A221" s="22" t="n"/>
    </row>
    <row r="222">
      <c r="A222" s="22" t="n"/>
    </row>
    <row r="223">
      <c r="A223" s="22" t="n"/>
    </row>
    <row r="224">
      <c r="A224" s="22" t="n"/>
    </row>
    <row r="225">
      <c r="A225" s="22" t="n"/>
    </row>
    <row r="226">
      <c r="A226" s="22" t="n"/>
    </row>
    <row r="227">
      <c r="A227" s="22" t="n"/>
    </row>
    <row r="228">
      <c r="A228" s="22" t="n"/>
    </row>
    <row r="229">
      <c r="A229" s="22" t="n"/>
    </row>
    <row r="230">
      <c r="A230" s="22" t="n"/>
    </row>
    <row r="231">
      <c r="A231" s="22" t="n"/>
    </row>
    <row r="232">
      <c r="A232" s="22" t="n"/>
    </row>
    <row r="233">
      <c r="A233" s="22" t="n"/>
    </row>
    <row r="234">
      <c r="A234" s="22" t="n"/>
    </row>
    <row r="235">
      <c r="A235" s="22" t="n"/>
    </row>
    <row r="236">
      <c r="A236" s="22" t="n"/>
    </row>
    <row r="237">
      <c r="A237" s="22" t="n"/>
    </row>
    <row r="238">
      <c r="A238" s="22" t="n"/>
    </row>
    <row r="239">
      <c r="A239" s="22" t="n"/>
    </row>
    <row r="240">
      <c r="A240" s="22" t="n"/>
    </row>
    <row r="241">
      <c r="A241" s="22" t="n"/>
    </row>
    <row r="242">
      <c r="A242" s="22" t="n"/>
    </row>
    <row r="243">
      <c r="A243" s="22" t="n"/>
    </row>
    <row r="244">
      <c r="A244" s="22" t="n"/>
    </row>
    <row r="245">
      <c r="A245" s="22" t="n"/>
    </row>
    <row r="246">
      <c r="A246" s="22" t="n"/>
    </row>
    <row r="247">
      <c r="A247" s="22" t="n"/>
    </row>
    <row r="248">
      <c r="A248" s="22" t="n"/>
    </row>
    <row r="249">
      <c r="A249" s="22" t="n"/>
    </row>
    <row r="250">
      <c r="A250" s="22" t="n"/>
    </row>
    <row r="251">
      <c r="A251" s="22" t="n"/>
    </row>
    <row r="252">
      <c r="A252" s="22" t="n"/>
    </row>
    <row r="253">
      <c r="A253" s="22" t="n"/>
    </row>
    <row r="254">
      <c r="A254" s="22" t="n"/>
    </row>
    <row r="255">
      <c r="A255" s="22" t="n"/>
    </row>
    <row r="256">
      <c r="A256" s="22" t="n"/>
    </row>
    <row r="257">
      <c r="A257" s="22" t="n"/>
    </row>
    <row r="258">
      <c r="A258" s="22" t="n"/>
    </row>
    <row r="259">
      <c r="A259" s="22" t="n"/>
    </row>
    <row r="260">
      <c r="A260" s="22" t="n"/>
    </row>
    <row r="261">
      <c r="A261" s="22" t="n"/>
    </row>
    <row r="262">
      <c r="A262" s="22" t="n"/>
    </row>
    <row r="263">
      <c r="A263" s="22" t="n"/>
    </row>
    <row r="264">
      <c r="A264" s="22" t="n"/>
    </row>
    <row r="265">
      <c r="A265" s="22" t="n"/>
    </row>
    <row r="266">
      <c r="A266" s="22" t="n"/>
    </row>
    <row r="267">
      <c r="A267" s="22" t="n"/>
    </row>
    <row r="268">
      <c r="A268" s="22" t="n"/>
    </row>
    <row r="269">
      <c r="A269" s="22" t="n"/>
    </row>
    <row r="270">
      <c r="A270" s="22" t="n"/>
    </row>
    <row r="271">
      <c r="A271" s="22" t="n"/>
    </row>
    <row r="272">
      <c r="A272" s="22" t="n"/>
    </row>
    <row r="273">
      <c r="A273" s="22" t="n"/>
    </row>
    <row r="274">
      <c r="A274" s="22" t="n"/>
    </row>
    <row r="275">
      <c r="A275" s="22" t="n"/>
    </row>
    <row r="276">
      <c r="A276" s="22" t="n"/>
    </row>
    <row r="277">
      <c r="A277" s="22" t="n"/>
    </row>
    <row r="278">
      <c r="A278" s="22" t="n"/>
    </row>
    <row r="279">
      <c r="A279" s="22" t="n"/>
    </row>
    <row r="280">
      <c r="A280" s="22" t="n"/>
    </row>
    <row r="281">
      <c r="A281" s="22" t="n"/>
    </row>
    <row r="282">
      <c r="A282" s="22" t="n"/>
    </row>
    <row r="283">
      <c r="A283" s="22" t="n"/>
    </row>
    <row r="284">
      <c r="A284" s="22" t="n"/>
    </row>
    <row r="285">
      <c r="A285" s="22" t="n"/>
    </row>
    <row r="286">
      <c r="A286" s="22" t="n"/>
    </row>
    <row r="287">
      <c r="A287" s="22" t="n"/>
    </row>
    <row r="288">
      <c r="A288" s="22" t="n"/>
    </row>
    <row r="289">
      <c r="A289" s="22" t="n"/>
    </row>
    <row r="290">
      <c r="A290" s="22" t="n"/>
    </row>
    <row r="291">
      <c r="A291" s="22" t="n"/>
    </row>
    <row r="292">
      <c r="A292" s="22" t="n"/>
    </row>
    <row r="293">
      <c r="A293" s="22" t="n"/>
    </row>
    <row r="294">
      <c r="A294" s="22" t="n"/>
    </row>
    <row r="295">
      <c r="A295" s="22" t="n"/>
    </row>
    <row r="296">
      <c r="A296" s="22" t="n"/>
    </row>
    <row r="297">
      <c r="A297" s="22" t="n"/>
    </row>
    <row r="298">
      <c r="A298" s="22" t="n"/>
    </row>
    <row r="299">
      <c r="A299" s="22" t="n"/>
    </row>
    <row r="300">
      <c r="A300" s="22" t="n"/>
    </row>
    <row r="301">
      <c r="A301" s="22" t="n"/>
    </row>
    <row r="302">
      <c r="A302" s="22" t="n"/>
    </row>
    <row r="303">
      <c r="A303" s="22" t="n"/>
    </row>
    <row r="304">
      <c r="A304" s="22" t="n"/>
    </row>
    <row r="305">
      <c r="A305" s="22" t="n"/>
    </row>
    <row r="306">
      <c r="A306" s="22" t="n"/>
    </row>
    <row r="307">
      <c r="A307" s="22" t="n"/>
    </row>
    <row r="308">
      <c r="A308" s="22" t="n"/>
    </row>
    <row r="309">
      <c r="A309" s="22" t="n"/>
    </row>
    <row r="310">
      <c r="A310" s="22" t="n"/>
    </row>
    <row r="311">
      <c r="A311" s="22" t="n"/>
    </row>
    <row r="312">
      <c r="A312" s="22" t="n"/>
    </row>
    <row r="313">
      <c r="A313" s="22" t="n"/>
    </row>
    <row r="314">
      <c r="A314" s="22" t="n"/>
    </row>
    <row r="315">
      <c r="A315" s="22" t="n"/>
    </row>
    <row r="316">
      <c r="A316" s="22" t="n"/>
    </row>
    <row r="317">
      <c r="A317" s="22" t="n"/>
    </row>
    <row r="318">
      <c r="A318" s="22" t="n"/>
    </row>
    <row r="319">
      <c r="A319" s="22" t="n"/>
    </row>
    <row r="320">
      <c r="A320" s="22" t="n"/>
    </row>
    <row r="321">
      <c r="A321" s="22" t="n"/>
    </row>
    <row r="322">
      <c r="A322" s="22" t="n"/>
    </row>
    <row r="323">
      <c r="A323" s="22" t="n"/>
    </row>
    <row r="324">
      <c r="A324" s="22" t="n"/>
    </row>
    <row r="325">
      <c r="A325" s="22" t="n"/>
    </row>
    <row r="326">
      <c r="A326" s="22" t="n"/>
    </row>
    <row r="327">
      <c r="A327" s="22" t="n"/>
    </row>
    <row r="328">
      <c r="A328" s="22" t="n"/>
    </row>
    <row r="329">
      <c r="A329" s="22" t="n"/>
    </row>
    <row r="330">
      <c r="A330" s="22" t="n"/>
    </row>
    <row r="331">
      <c r="A331" s="22" t="n"/>
    </row>
    <row r="332">
      <c r="A332" s="22" t="n"/>
    </row>
    <row r="333">
      <c r="A333" s="22" t="n"/>
    </row>
    <row r="334">
      <c r="A334" s="22" t="n"/>
    </row>
    <row r="335">
      <c r="A335" s="22" t="n"/>
    </row>
    <row r="336">
      <c r="A336" s="22" t="n"/>
    </row>
    <row r="337">
      <c r="A337" s="22" t="n"/>
    </row>
    <row r="338">
      <c r="A338" s="22" t="n"/>
    </row>
    <row r="339">
      <c r="A339" s="22" t="n"/>
    </row>
    <row r="340">
      <c r="A340" s="22" t="n"/>
    </row>
    <row r="341">
      <c r="A341" s="22" t="n"/>
    </row>
    <row r="342">
      <c r="A342" s="22" t="n"/>
    </row>
    <row r="343">
      <c r="A343" s="22" t="n"/>
    </row>
    <row r="344">
      <c r="A344" s="22" t="n"/>
    </row>
    <row r="345">
      <c r="A345" s="22" t="n"/>
    </row>
    <row r="346">
      <c r="A346" s="22" t="n"/>
    </row>
    <row r="347">
      <c r="A347" s="22" t="n"/>
    </row>
    <row r="348">
      <c r="A348" s="22" t="n"/>
    </row>
    <row r="349">
      <c r="A349" s="22" t="n"/>
    </row>
    <row r="350">
      <c r="A350" s="22" t="n"/>
    </row>
    <row r="351">
      <c r="A351" s="22" t="n"/>
    </row>
    <row r="352">
      <c r="A352" s="22" t="n"/>
    </row>
    <row r="353">
      <c r="A353" s="22" t="n"/>
    </row>
    <row r="354">
      <c r="A354" s="22" t="n"/>
    </row>
    <row r="355">
      <c r="A355" s="22" t="n"/>
    </row>
    <row r="356">
      <c r="A356" s="22" t="n"/>
    </row>
    <row r="357">
      <c r="A357" s="22" t="n"/>
    </row>
    <row r="358">
      <c r="A358" s="22" t="n"/>
    </row>
    <row r="359">
      <c r="A359" s="22" t="n"/>
    </row>
    <row r="360">
      <c r="A360" s="22" t="n"/>
    </row>
    <row r="361">
      <c r="A361" s="22" t="n"/>
    </row>
    <row r="362">
      <c r="A362" s="22" t="n"/>
    </row>
    <row r="363">
      <c r="A363" s="22" t="n"/>
    </row>
    <row r="364">
      <c r="A364" s="22" t="n"/>
    </row>
    <row r="365">
      <c r="A365" s="22" t="n"/>
    </row>
    <row r="366">
      <c r="A366" s="22" t="n"/>
    </row>
    <row r="367">
      <c r="A367" s="22" t="n"/>
    </row>
    <row r="368">
      <c r="A368" s="22" t="n"/>
    </row>
    <row r="369">
      <c r="A369" s="22" t="n"/>
    </row>
    <row r="370">
      <c r="A370" s="22" t="n"/>
    </row>
    <row r="371">
      <c r="A371" s="22" t="n"/>
    </row>
    <row r="372">
      <c r="A372" s="22" t="n"/>
    </row>
    <row r="373">
      <c r="A373" s="22" t="n"/>
    </row>
    <row r="374">
      <c r="A374" s="22" t="n"/>
    </row>
    <row r="375">
      <c r="A375" s="22" t="n"/>
    </row>
    <row r="376">
      <c r="A376" s="22" t="n"/>
    </row>
    <row r="377">
      <c r="A377" s="22" t="n"/>
    </row>
    <row r="378">
      <c r="A378" s="22" t="n"/>
    </row>
    <row r="379">
      <c r="A379" s="22" t="n"/>
    </row>
    <row r="380">
      <c r="A380" s="22" t="n"/>
    </row>
    <row r="381">
      <c r="A381" s="22" t="n"/>
    </row>
    <row r="382">
      <c r="A382" s="22" t="n"/>
    </row>
    <row r="383">
      <c r="A383" s="22" t="n"/>
    </row>
    <row r="384">
      <c r="A384" s="22" t="n"/>
    </row>
    <row r="385">
      <c r="A385" s="22" t="n"/>
    </row>
    <row r="386">
      <c r="A386" s="22" t="n"/>
    </row>
    <row r="387">
      <c r="A387" s="22" t="n"/>
    </row>
    <row r="388">
      <c r="A388" s="22" t="n"/>
    </row>
    <row r="389">
      <c r="A389" s="22" t="n"/>
    </row>
    <row r="390">
      <c r="A390" s="22" t="n"/>
    </row>
    <row r="391">
      <c r="A391" s="22" t="n"/>
    </row>
    <row r="392">
      <c r="A392" s="22" t="n"/>
    </row>
    <row r="393">
      <c r="A393" s="22" t="n"/>
    </row>
    <row r="394">
      <c r="A394" s="22" t="n"/>
    </row>
    <row r="395">
      <c r="A395" s="22" t="n"/>
    </row>
    <row r="396">
      <c r="A396" s="22" t="n"/>
    </row>
    <row r="397">
      <c r="A397" s="22" t="n"/>
    </row>
    <row r="398">
      <c r="A398" s="22" t="n"/>
    </row>
    <row r="399">
      <c r="A399" s="22" t="n"/>
    </row>
    <row r="400">
      <c r="A400" s="22" t="n"/>
    </row>
    <row r="401">
      <c r="A401" s="22" t="n"/>
    </row>
    <row r="402">
      <c r="A402" s="22" t="n"/>
    </row>
    <row r="403">
      <c r="A403" s="22" t="n"/>
    </row>
    <row r="404">
      <c r="A404" s="22" t="n"/>
    </row>
    <row r="405">
      <c r="A405" s="22" t="n"/>
    </row>
    <row r="406">
      <c r="A406" s="22" t="n"/>
    </row>
    <row r="407">
      <c r="A407" s="22" t="n"/>
    </row>
    <row r="408">
      <c r="A408" s="22" t="n"/>
    </row>
    <row r="409">
      <c r="A409" s="22" t="n"/>
    </row>
    <row r="410">
      <c r="A410" s="22" t="n"/>
    </row>
    <row r="411">
      <c r="A411" s="22" t="n"/>
    </row>
    <row r="412">
      <c r="A412" s="22" t="n"/>
    </row>
    <row r="413">
      <c r="A413" s="22" t="n"/>
    </row>
    <row r="414">
      <c r="A414" s="22" t="n"/>
    </row>
    <row r="415">
      <c r="A415" s="22" t="n"/>
    </row>
    <row r="416">
      <c r="A416" s="22" t="n"/>
    </row>
    <row r="417">
      <c r="A417" s="22" t="n"/>
    </row>
    <row r="418">
      <c r="A418" s="22" t="n"/>
    </row>
    <row r="419">
      <c r="A419" s="22" t="n"/>
    </row>
    <row r="420">
      <c r="A420" s="22" t="n"/>
    </row>
    <row r="421">
      <c r="A421" s="22" t="n"/>
    </row>
    <row r="422">
      <c r="A422" s="22" t="n"/>
    </row>
    <row r="423">
      <c r="A423" s="22" t="n"/>
    </row>
    <row r="424">
      <c r="A424" s="22" t="n"/>
    </row>
    <row r="425">
      <c r="A425" s="22" t="n"/>
    </row>
    <row r="426">
      <c r="A426" s="22" t="n"/>
    </row>
    <row r="427">
      <c r="A427" s="22" t="n"/>
    </row>
    <row r="428">
      <c r="A428" s="22" t="n"/>
    </row>
    <row r="429">
      <c r="A429" s="22" t="n"/>
    </row>
    <row r="430">
      <c r="A430" s="22" t="n"/>
    </row>
    <row r="431">
      <c r="A431" s="22" t="n"/>
    </row>
    <row r="432">
      <c r="A432" s="22" t="n"/>
    </row>
    <row r="433">
      <c r="A433" s="22" t="n"/>
    </row>
    <row r="434">
      <c r="A434" s="22" t="n"/>
    </row>
    <row r="435">
      <c r="A435" s="22" t="n"/>
    </row>
    <row r="436">
      <c r="A436" s="22" t="n"/>
    </row>
    <row r="437">
      <c r="A437" s="22" t="n"/>
    </row>
    <row r="438">
      <c r="A438" s="22" t="n"/>
    </row>
    <row r="439">
      <c r="A439" s="22" t="n"/>
    </row>
    <row r="440">
      <c r="A440" s="22" t="n"/>
    </row>
    <row r="441">
      <c r="A441" s="22" t="n"/>
    </row>
    <row r="442">
      <c r="A442" s="22" t="n"/>
    </row>
    <row r="443">
      <c r="A443" s="22" t="n"/>
    </row>
    <row r="444">
      <c r="A444" s="22" t="n"/>
    </row>
    <row r="445">
      <c r="A445" s="22" t="n"/>
    </row>
    <row r="446">
      <c r="A446" s="22" t="n"/>
    </row>
    <row r="447">
      <c r="A447" s="22" t="n"/>
    </row>
    <row r="448">
      <c r="A448" s="22" t="n"/>
    </row>
    <row r="449">
      <c r="A449" s="22" t="n"/>
    </row>
    <row r="450">
      <c r="A450" s="22" t="n"/>
    </row>
    <row r="451">
      <c r="A451" s="22" t="n"/>
    </row>
    <row r="452">
      <c r="A452" s="22" t="n"/>
    </row>
    <row r="453">
      <c r="A453" s="22" t="n"/>
    </row>
    <row r="454">
      <c r="A454" s="22" t="n"/>
    </row>
    <row r="455">
      <c r="A455" s="22" t="n"/>
    </row>
    <row r="456">
      <c r="A456" s="22" t="n"/>
    </row>
    <row r="457">
      <c r="A457" s="22" t="n"/>
    </row>
    <row r="458">
      <c r="A458" s="22" t="n"/>
    </row>
    <row r="459">
      <c r="A459" s="22" t="n"/>
    </row>
    <row r="460">
      <c r="A460" s="22" t="n"/>
    </row>
    <row r="461">
      <c r="A461" s="22" t="n"/>
    </row>
    <row r="462">
      <c r="A462" s="22" t="n"/>
    </row>
    <row r="463">
      <c r="A463" s="22" t="n"/>
    </row>
    <row r="464">
      <c r="A464" s="22" t="n"/>
    </row>
    <row r="465">
      <c r="A465" s="22" t="n"/>
    </row>
    <row r="466">
      <c r="A466" s="22" t="n"/>
    </row>
    <row r="467">
      <c r="A467" s="22" t="n"/>
    </row>
    <row r="468">
      <c r="A468" s="22" t="n"/>
    </row>
    <row r="469">
      <c r="A469" s="22" t="n"/>
    </row>
    <row r="470">
      <c r="A470" s="22" t="n"/>
    </row>
    <row r="471">
      <c r="A471" s="22" t="n"/>
    </row>
    <row r="472">
      <c r="A472" s="22" t="n"/>
    </row>
    <row r="473">
      <c r="A473" s="22" t="n"/>
    </row>
    <row r="474">
      <c r="A474" s="22" t="n"/>
    </row>
    <row r="475">
      <c r="A475" s="22" t="n"/>
    </row>
    <row r="476">
      <c r="A476" s="22" t="n"/>
    </row>
    <row r="477">
      <c r="A477" s="22" t="n"/>
    </row>
    <row r="478">
      <c r="A478" s="22" t="n"/>
    </row>
    <row r="479">
      <c r="A479" s="22" t="n"/>
    </row>
    <row r="480">
      <c r="A480" s="22" t="n"/>
    </row>
    <row r="481">
      <c r="A481" s="22" t="n"/>
    </row>
    <row r="482">
      <c r="A482" s="22" t="n"/>
    </row>
    <row r="483">
      <c r="A483" s="22" t="n"/>
    </row>
    <row r="484">
      <c r="A484" s="22" t="n"/>
    </row>
    <row r="485">
      <c r="A485" s="22" t="n"/>
    </row>
    <row r="486">
      <c r="A486" s="22" t="n"/>
    </row>
    <row r="487">
      <c r="A487" s="22" t="n"/>
    </row>
    <row r="488">
      <c r="A488" s="22" t="n"/>
    </row>
    <row r="489">
      <c r="A489" s="22" t="n"/>
    </row>
    <row r="490">
      <c r="A490" s="22" t="n"/>
    </row>
    <row r="491">
      <c r="A491" s="22" t="n"/>
    </row>
    <row r="492">
      <c r="A492" s="22" t="n"/>
    </row>
    <row r="493">
      <c r="A493" s="22" t="n"/>
    </row>
    <row r="494">
      <c r="A494" s="22" t="n"/>
    </row>
    <row r="495">
      <c r="A495" s="22" t="n"/>
    </row>
    <row r="496">
      <c r="A496" s="22" t="n"/>
    </row>
    <row r="497">
      <c r="A497" s="22" t="n"/>
    </row>
    <row r="498">
      <c r="A498" s="22" t="n"/>
    </row>
    <row r="499">
      <c r="A499" s="22" t="n"/>
    </row>
    <row r="500">
      <c r="A500" s="22" t="n"/>
    </row>
    <row r="501">
      <c r="A501" s="22" t="n"/>
    </row>
    <row r="502">
      <c r="A502" s="22" t="n"/>
    </row>
    <row r="503">
      <c r="A503" s="22" t="n"/>
    </row>
    <row r="504">
      <c r="A504" s="22" t="n"/>
    </row>
    <row r="505">
      <c r="A505" s="22" t="n"/>
    </row>
    <row r="506">
      <c r="A506" s="22" t="n"/>
    </row>
    <row r="507">
      <c r="A507" s="22" t="n"/>
    </row>
    <row r="508">
      <c r="A508" s="22" t="n"/>
    </row>
    <row r="509">
      <c r="A509" s="22" t="n"/>
    </row>
    <row r="510">
      <c r="A510" s="22" t="n"/>
    </row>
    <row r="511">
      <c r="A511" s="22" t="n"/>
    </row>
    <row r="512">
      <c r="A512" s="22" t="n"/>
    </row>
    <row r="513">
      <c r="A513" s="22" t="n"/>
    </row>
    <row r="514">
      <c r="A514" s="22" t="n"/>
    </row>
    <row r="515">
      <c r="A515" s="22" t="n"/>
    </row>
    <row r="516">
      <c r="A516" s="22" t="n"/>
    </row>
    <row r="517">
      <c r="A517" s="22" t="n"/>
    </row>
    <row r="518">
      <c r="A518" s="22" t="n"/>
    </row>
    <row r="519">
      <c r="A519" s="22" t="n"/>
    </row>
    <row r="520">
      <c r="A520" s="22" t="n"/>
    </row>
    <row r="521">
      <c r="A521" s="22" t="n"/>
    </row>
    <row r="522">
      <c r="A522" s="22" t="n"/>
    </row>
    <row r="523">
      <c r="A523" s="22" t="n"/>
    </row>
    <row r="524">
      <c r="A524" s="22" t="n"/>
    </row>
    <row r="525">
      <c r="A525" s="22" t="n"/>
    </row>
    <row r="526">
      <c r="A526" s="22" t="n"/>
    </row>
    <row r="527">
      <c r="A527" s="22" t="n"/>
    </row>
    <row r="528">
      <c r="A528" s="22" t="n"/>
    </row>
    <row r="529">
      <c r="A529" s="22" t="n"/>
    </row>
    <row r="530">
      <c r="A530" s="22" t="n"/>
    </row>
    <row r="531">
      <c r="A531" s="22" t="n"/>
    </row>
    <row r="532">
      <c r="A532" s="22" t="n"/>
    </row>
    <row r="533">
      <c r="A533" s="22" t="n"/>
    </row>
    <row r="534">
      <c r="A534" s="22" t="n"/>
    </row>
    <row r="535">
      <c r="A535" s="22" t="n"/>
    </row>
    <row r="536">
      <c r="A536" s="22" t="n"/>
    </row>
    <row r="537">
      <c r="A537" s="22" t="n"/>
    </row>
    <row r="538">
      <c r="A538" s="22" t="n"/>
    </row>
    <row r="539">
      <c r="A539" s="22" t="n"/>
    </row>
    <row r="540">
      <c r="A540" s="22" t="n"/>
    </row>
    <row r="541">
      <c r="A541" s="22" t="n"/>
    </row>
    <row r="542">
      <c r="A542" s="22" t="n"/>
    </row>
    <row r="543">
      <c r="A543" s="22" t="n"/>
    </row>
    <row r="544">
      <c r="A544" s="22" t="n"/>
    </row>
    <row r="545">
      <c r="A545" s="22" t="n"/>
    </row>
    <row r="546">
      <c r="A546" s="22" t="n"/>
    </row>
    <row r="547">
      <c r="A547" s="22" t="n"/>
    </row>
    <row r="548">
      <c r="A548" s="22" t="n"/>
    </row>
    <row r="549">
      <c r="A549" s="22" t="n"/>
    </row>
    <row r="550">
      <c r="A550" s="22" t="n"/>
    </row>
    <row r="551">
      <c r="A551" s="22" t="n"/>
    </row>
    <row r="552">
      <c r="A552" s="22" t="n"/>
    </row>
    <row r="553">
      <c r="A553" s="22" t="n"/>
    </row>
    <row r="554">
      <c r="A554" s="22" t="n"/>
    </row>
    <row r="555">
      <c r="A555" s="22" t="n"/>
    </row>
    <row r="556">
      <c r="A556" s="22" t="n"/>
    </row>
    <row r="557">
      <c r="A557" s="22" t="n"/>
    </row>
    <row r="558">
      <c r="A558" s="22" t="n"/>
    </row>
    <row r="559">
      <c r="A559" s="22" t="n"/>
    </row>
    <row r="560">
      <c r="A560" s="22" t="n"/>
    </row>
    <row r="561">
      <c r="A561" s="22" t="n"/>
    </row>
    <row r="562">
      <c r="A562" s="22" t="n"/>
    </row>
    <row r="563">
      <c r="A563" s="22" t="n"/>
    </row>
    <row r="564">
      <c r="A564" s="22" t="n"/>
    </row>
    <row r="565">
      <c r="A565" s="22" t="n"/>
    </row>
    <row r="566">
      <c r="A566" s="22" t="n"/>
    </row>
    <row r="567">
      <c r="A567" s="22" t="n"/>
    </row>
    <row r="568">
      <c r="A568" s="22" t="n"/>
    </row>
    <row r="569">
      <c r="A569" s="22" t="n"/>
    </row>
    <row r="570">
      <c r="A570" s="22" t="n"/>
    </row>
    <row r="571">
      <c r="A571" s="22" t="n"/>
    </row>
    <row r="572">
      <c r="A572" s="22" t="n"/>
    </row>
    <row r="573">
      <c r="A573" s="22" t="n"/>
    </row>
    <row r="574">
      <c r="A574" s="22" t="n"/>
    </row>
    <row r="575">
      <c r="A575" s="22" t="n"/>
    </row>
    <row r="576">
      <c r="A576" s="22" t="n"/>
    </row>
    <row r="577">
      <c r="A577" s="22" t="n"/>
    </row>
    <row r="578">
      <c r="A578" s="22" t="n"/>
    </row>
    <row r="579">
      <c r="A579" s="22" t="n"/>
    </row>
    <row r="580">
      <c r="A580" s="22" t="n"/>
    </row>
    <row r="581">
      <c r="A581" s="22" t="n"/>
    </row>
    <row r="582">
      <c r="A582" s="22" t="n"/>
    </row>
    <row r="583">
      <c r="A583" s="22" t="n"/>
    </row>
    <row r="584">
      <c r="A584" s="22" t="n"/>
    </row>
    <row r="585">
      <c r="A585" s="22" t="n"/>
    </row>
    <row r="586">
      <c r="A586" s="22" t="n"/>
    </row>
    <row r="587">
      <c r="A587" s="22" t="n"/>
    </row>
    <row r="588">
      <c r="A588" s="22" t="n"/>
    </row>
    <row r="589">
      <c r="A589" s="22" t="n"/>
    </row>
    <row r="590">
      <c r="A590" s="22" t="n"/>
    </row>
    <row r="591">
      <c r="A591" s="22" t="n"/>
    </row>
    <row r="592">
      <c r="A592" s="22" t="n"/>
    </row>
    <row r="593">
      <c r="A593" s="22" t="n"/>
    </row>
    <row r="594">
      <c r="A594" s="22" t="n"/>
    </row>
    <row r="595">
      <c r="A595" s="22" t="n"/>
    </row>
    <row r="596">
      <c r="A596" s="22" t="n"/>
    </row>
    <row r="597">
      <c r="A597" s="22" t="n"/>
    </row>
    <row r="598">
      <c r="A598" s="22" t="n"/>
    </row>
    <row r="599">
      <c r="A599" s="22" t="n"/>
    </row>
    <row r="600">
      <c r="A600" s="22" t="n"/>
    </row>
    <row r="601">
      <c r="A601" s="22" t="n"/>
    </row>
    <row r="602">
      <c r="A602" s="22" t="n"/>
    </row>
    <row r="603">
      <c r="A603" s="22" t="n"/>
    </row>
    <row r="604">
      <c r="A604" s="22" t="n"/>
    </row>
    <row r="605">
      <c r="A605" s="22" t="n"/>
    </row>
    <row r="606">
      <c r="A606" s="22" t="n"/>
    </row>
    <row r="607">
      <c r="A607" s="22" t="n"/>
    </row>
    <row r="608">
      <c r="A608" s="22" t="n"/>
    </row>
    <row r="609">
      <c r="A609" s="22" t="n"/>
    </row>
    <row r="610">
      <c r="A610" s="22" t="n"/>
    </row>
    <row r="611">
      <c r="A611" s="22" t="n"/>
    </row>
    <row r="612">
      <c r="A612" s="22" t="n"/>
    </row>
    <row r="613">
      <c r="A613" s="22" t="n"/>
    </row>
    <row r="614">
      <c r="A614" s="22" t="n"/>
    </row>
    <row r="615">
      <c r="A615" s="22" t="n"/>
    </row>
    <row r="616">
      <c r="A616" s="22" t="n"/>
    </row>
    <row r="617">
      <c r="A617" s="22" t="n"/>
    </row>
    <row r="618">
      <c r="A618" s="22" t="n"/>
    </row>
    <row r="619">
      <c r="A619" s="22" t="n"/>
    </row>
    <row r="620">
      <c r="A620" s="22" t="n"/>
    </row>
    <row r="621">
      <c r="A621" s="22" t="n"/>
    </row>
    <row r="622">
      <c r="A622" s="22" t="n"/>
    </row>
    <row r="623">
      <c r="A623" s="22" t="n"/>
    </row>
    <row r="624">
      <c r="A624" s="22" t="n"/>
    </row>
    <row r="625">
      <c r="A625" s="22" t="n"/>
    </row>
    <row r="626">
      <c r="A626" s="22" t="n"/>
    </row>
    <row r="627">
      <c r="A627" s="22" t="n"/>
    </row>
    <row r="628">
      <c r="A628" s="22" t="n"/>
    </row>
    <row r="629">
      <c r="A629" s="22" t="n"/>
    </row>
    <row r="630">
      <c r="A630" s="22" t="n"/>
    </row>
    <row r="631">
      <c r="A631" s="22" t="n"/>
    </row>
    <row r="632">
      <c r="A632" s="22" t="n"/>
    </row>
    <row r="633">
      <c r="A633" s="22" t="n"/>
    </row>
    <row r="634">
      <c r="A634" s="22" t="n"/>
    </row>
    <row r="635">
      <c r="A635" s="22" t="n"/>
    </row>
    <row r="636">
      <c r="A636" s="22" t="n"/>
    </row>
    <row r="637">
      <c r="A637" s="22" t="n"/>
    </row>
    <row r="638">
      <c r="A638" s="22" t="n"/>
    </row>
    <row r="639">
      <c r="A639" s="22" t="n"/>
    </row>
    <row r="640">
      <c r="A640" s="22" t="n"/>
    </row>
    <row r="641">
      <c r="A641" s="22" t="n"/>
    </row>
    <row r="642">
      <c r="A642" s="22" t="n"/>
    </row>
    <row r="643">
      <c r="A643" s="22" t="n"/>
    </row>
    <row r="644">
      <c r="A644" s="22" t="n"/>
    </row>
    <row r="645">
      <c r="A645" s="22" t="n"/>
    </row>
    <row r="646">
      <c r="A646" s="22" t="n"/>
    </row>
    <row r="647">
      <c r="A647" s="22" t="n"/>
    </row>
    <row r="648">
      <c r="A648" s="22" t="n"/>
    </row>
    <row r="649">
      <c r="A649" s="22" t="n"/>
    </row>
    <row r="650">
      <c r="A650" s="22" t="n"/>
    </row>
    <row r="651">
      <c r="A651" s="22" t="n"/>
    </row>
    <row r="652">
      <c r="A652" s="22" t="n"/>
    </row>
    <row r="653">
      <c r="A653" s="22" t="n"/>
    </row>
    <row r="654">
      <c r="A654" s="22" t="n"/>
    </row>
    <row r="655">
      <c r="A655" s="22" t="n"/>
    </row>
    <row r="656">
      <c r="A656" s="22" t="n"/>
    </row>
    <row r="657">
      <c r="A657" s="22" t="n"/>
    </row>
    <row r="658">
      <c r="A658" s="22" t="n"/>
    </row>
    <row r="659">
      <c r="A659" s="22" t="n"/>
    </row>
    <row r="660">
      <c r="A660" s="22" t="n"/>
    </row>
    <row r="661">
      <c r="A661" s="22" t="n"/>
    </row>
    <row r="662">
      <c r="A662" s="22" t="n"/>
    </row>
    <row r="663">
      <c r="A663" s="22" t="n"/>
    </row>
    <row r="664">
      <c r="A664" s="22" t="n"/>
    </row>
    <row r="665">
      <c r="A665" s="22" t="n"/>
    </row>
    <row r="666">
      <c r="A666" s="22" t="n"/>
    </row>
    <row r="667">
      <c r="A667" s="22" t="n"/>
    </row>
    <row r="668">
      <c r="A668" s="22" t="n"/>
    </row>
    <row r="669">
      <c r="A669" s="22" t="n"/>
    </row>
    <row r="670">
      <c r="A670" s="22" t="n"/>
    </row>
    <row r="671">
      <c r="A671" s="22" t="n"/>
    </row>
    <row r="672">
      <c r="A672" s="22" t="n"/>
    </row>
    <row r="673">
      <c r="A673" s="22" t="n"/>
    </row>
    <row r="674">
      <c r="A674" s="22" t="n"/>
    </row>
    <row r="675">
      <c r="A675" s="22" t="n"/>
    </row>
    <row r="676">
      <c r="A676" s="22" t="n"/>
    </row>
    <row r="677">
      <c r="A677" s="22" t="n"/>
    </row>
    <row r="678">
      <c r="A678" s="22" t="n"/>
    </row>
    <row r="679">
      <c r="A679" s="22" t="n"/>
    </row>
    <row r="680">
      <c r="A680" s="22" t="n"/>
    </row>
    <row r="681">
      <c r="A681" s="22" t="n"/>
    </row>
    <row r="682">
      <c r="A682" s="22" t="n"/>
    </row>
    <row r="683">
      <c r="A683" s="22" t="n"/>
    </row>
    <row r="684">
      <c r="A684" s="22" t="n"/>
    </row>
    <row r="685">
      <c r="A685" s="22" t="n"/>
    </row>
    <row r="686">
      <c r="A686" s="22" t="n"/>
    </row>
    <row r="687">
      <c r="A687" s="22" t="n"/>
    </row>
    <row r="688">
      <c r="A688" s="22" t="n"/>
    </row>
    <row r="689">
      <c r="A689" s="22" t="n"/>
    </row>
    <row r="690">
      <c r="A690" s="22" t="n"/>
    </row>
    <row r="691">
      <c r="A691" s="22" t="n"/>
    </row>
    <row r="692">
      <c r="A692" s="22" t="n"/>
    </row>
    <row r="693">
      <c r="A693" s="22" t="n"/>
    </row>
    <row r="694">
      <c r="A694" s="22" t="n"/>
    </row>
    <row r="695">
      <c r="A695" s="22" t="n"/>
    </row>
    <row r="696">
      <c r="A696" s="22" t="n"/>
    </row>
    <row r="697">
      <c r="A697" s="22" t="n"/>
    </row>
    <row r="698">
      <c r="A698" s="22" t="n"/>
    </row>
    <row r="699">
      <c r="A699" s="22" t="n"/>
    </row>
    <row r="700">
      <c r="A700" s="22" t="n"/>
    </row>
    <row r="701">
      <c r="A701" s="22" t="n"/>
    </row>
    <row r="702">
      <c r="A702" s="22" t="n"/>
    </row>
    <row r="703">
      <c r="A703" s="22" t="n"/>
    </row>
    <row r="704">
      <c r="A704" s="22" t="n"/>
    </row>
    <row r="705">
      <c r="A705" s="22" t="n"/>
    </row>
    <row r="706">
      <c r="A706" s="22" t="n"/>
    </row>
    <row r="707">
      <c r="A707" s="22" t="n"/>
    </row>
    <row r="708">
      <c r="A708" s="22" t="n"/>
    </row>
    <row r="709">
      <c r="A709" s="22" t="n"/>
    </row>
    <row r="710">
      <c r="A710" s="22" t="n"/>
    </row>
    <row r="711">
      <c r="A711" s="22" t="n"/>
    </row>
    <row r="712">
      <c r="A712" s="22" t="n"/>
    </row>
    <row r="713">
      <c r="A713" s="22" t="n"/>
    </row>
    <row r="714">
      <c r="A714" s="22" t="n"/>
    </row>
    <row r="715">
      <c r="A715" s="22" t="n"/>
    </row>
    <row r="716">
      <c r="A716" s="22" t="n"/>
    </row>
    <row r="717">
      <c r="A717" s="22" t="n"/>
    </row>
    <row r="718">
      <c r="A718" s="22" t="n"/>
    </row>
    <row r="719">
      <c r="A719" s="22" t="n"/>
    </row>
    <row r="720">
      <c r="A720" s="22" t="n"/>
    </row>
    <row r="721">
      <c r="A721" s="22" t="n"/>
    </row>
    <row r="722">
      <c r="A722" s="22" t="n"/>
    </row>
    <row r="723">
      <c r="A723" s="22" t="n"/>
    </row>
    <row r="724">
      <c r="A724" s="22" t="n"/>
    </row>
    <row r="725">
      <c r="A725" s="22" t="n"/>
    </row>
    <row r="726">
      <c r="A726" s="22" t="n"/>
    </row>
    <row r="727">
      <c r="A727" s="22" t="n"/>
    </row>
    <row r="728">
      <c r="A728" s="22" t="n"/>
    </row>
    <row r="729">
      <c r="A729" s="22" t="n"/>
    </row>
    <row r="730">
      <c r="A730" s="22" t="n"/>
    </row>
    <row r="731">
      <c r="A731" s="22" t="n"/>
    </row>
    <row r="732">
      <c r="A732" s="22" t="n"/>
    </row>
    <row r="733">
      <c r="A733" s="22" t="n"/>
    </row>
    <row r="734">
      <c r="A734" s="22" t="n"/>
    </row>
    <row r="735">
      <c r="A735" s="22" t="n"/>
    </row>
    <row r="736">
      <c r="A736" s="22" t="n"/>
    </row>
    <row r="737">
      <c r="A737" s="22" t="n"/>
    </row>
    <row r="738">
      <c r="A738" s="22" t="n"/>
    </row>
    <row r="739">
      <c r="A739" s="22" t="n"/>
    </row>
    <row r="740">
      <c r="A740" s="22" t="n"/>
    </row>
    <row r="741">
      <c r="A741" s="22" t="n"/>
    </row>
    <row r="742">
      <c r="A742" s="22" t="n"/>
    </row>
    <row r="743">
      <c r="A743" s="22" t="n"/>
    </row>
    <row r="744">
      <c r="A744" s="22" t="n"/>
    </row>
    <row r="745">
      <c r="A745" s="22" t="n"/>
    </row>
    <row r="746">
      <c r="A746" s="22" t="n"/>
    </row>
    <row r="747">
      <c r="A747" s="22" t="n"/>
    </row>
    <row r="748">
      <c r="A748" s="22" t="n"/>
    </row>
    <row r="749">
      <c r="A749" s="22" t="n"/>
    </row>
    <row r="750">
      <c r="A750" s="22" t="n"/>
    </row>
    <row r="751">
      <c r="A751" s="22" t="n"/>
    </row>
    <row r="752">
      <c r="A752" s="22" t="n"/>
    </row>
    <row r="753">
      <c r="A753" s="22" t="n"/>
    </row>
    <row r="754">
      <c r="A754" s="22" t="n"/>
    </row>
    <row r="755">
      <c r="A755" s="22" t="n"/>
    </row>
    <row r="756">
      <c r="A756" s="22" t="n"/>
    </row>
    <row r="757">
      <c r="A757" s="22" t="n"/>
    </row>
    <row r="758">
      <c r="A758" s="22" t="n"/>
    </row>
    <row r="759">
      <c r="A759" s="22" t="n"/>
    </row>
    <row r="760">
      <c r="A760" s="22" t="n"/>
    </row>
    <row r="761">
      <c r="A761" s="22" t="n"/>
    </row>
    <row r="762">
      <c r="A762" s="22" t="n"/>
    </row>
    <row r="763">
      <c r="A763" s="22" t="n"/>
    </row>
    <row r="764">
      <c r="A764" s="22" t="n"/>
    </row>
    <row r="765">
      <c r="A765" s="22" t="n"/>
    </row>
    <row r="766">
      <c r="A766" s="22" t="n"/>
    </row>
    <row r="767">
      <c r="A767" s="22" t="n"/>
    </row>
    <row r="768">
      <c r="A768" s="22" t="n"/>
    </row>
    <row r="769">
      <c r="A769" s="22" t="n"/>
    </row>
    <row r="770">
      <c r="A770" s="22" t="n"/>
    </row>
    <row r="771">
      <c r="A771" s="22" t="n"/>
    </row>
    <row r="772">
      <c r="A772" s="22" t="n"/>
    </row>
    <row r="773">
      <c r="A773" s="22" t="n"/>
    </row>
    <row r="774">
      <c r="A774" s="22" t="n"/>
    </row>
    <row r="775">
      <c r="A775" s="22" t="n"/>
    </row>
    <row r="776">
      <c r="A776" s="22" t="n"/>
    </row>
    <row r="777">
      <c r="A777" s="22" t="n"/>
    </row>
    <row r="778">
      <c r="A778" s="22" t="n"/>
    </row>
    <row r="779">
      <c r="A779" s="22" t="n"/>
    </row>
    <row r="780">
      <c r="A780" s="22" t="n"/>
    </row>
    <row r="781">
      <c r="A781" s="22" t="n"/>
    </row>
    <row r="782">
      <c r="A782" s="22" t="n"/>
    </row>
    <row r="783">
      <c r="A783" s="22" t="n"/>
    </row>
    <row r="784">
      <c r="A784" s="22" t="n"/>
    </row>
    <row r="785">
      <c r="A785" s="22" t="n"/>
    </row>
    <row r="786">
      <c r="A786" s="22" t="n"/>
    </row>
    <row r="787">
      <c r="A787" s="22" t="n"/>
    </row>
    <row r="788">
      <c r="A788" s="22" t="n"/>
    </row>
    <row r="789">
      <c r="A789" s="22" t="n"/>
    </row>
    <row r="790">
      <c r="A790" s="22" t="n"/>
    </row>
    <row r="791">
      <c r="A791" s="22" t="n"/>
    </row>
    <row r="792">
      <c r="A792" s="22" t="n"/>
    </row>
    <row r="793">
      <c r="A793" s="22" t="n"/>
    </row>
    <row r="794">
      <c r="A794" s="22" t="n"/>
    </row>
    <row r="795">
      <c r="A795" s="22" t="n"/>
    </row>
    <row r="796">
      <c r="A796" s="22" t="n"/>
    </row>
    <row r="797">
      <c r="A797" s="22" t="n"/>
    </row>
    <row r="798">
      <c r="A798" s="22" t="n"/>
    </row>
    <row r="799">
      <c r="A799" s="22" t="n"/>
    </row>
    <row r="800">
      <c r="A800" s="22" t="n"/>
    </row>
    <row r="801">
      <c r="A801" s="22" t="n"/>
    </row>
    <row r="802">
      <c r="A802" s="22" t="n"/>
    </row>
    <row r="803">
      <c r="A803" s="22" t="n"/>
    </row>
    <row r="804">
      <c r="A804" s="22" t="n"/>
    </row>
    <row r="805">
      <c r="A805" s="22" t="n"/>
    </row>
    <row r="806">
      <c r="A806" s="22" t="n"/>
    </row>
    <row r="807">
      <c r="A807" s="22" t="n"/>
    </row>
    <row r="808">
      <c r="A808" s="22" t="n"/>
    </row>
    <row r="809">
      <c r="A809" s="22" t="n"/>
    </row>
    <row r="810">
      <c r="A810" s="22" t="n"/>
    </row>
    <row r="811">
      <c r="A811" s="22" t="n"/>
    </row>
    <row r="812">
      <c r="A812" s="22" t="n"/>
    </row>
    <row r="813">
      <c r="A813" s="22" t="n"/>
    </row>
    <row r="814">
      <c r="A814" s="22" t="n"/>
    </row>
    <row r="815">
      <c r="A815" s="22" t="n"/>
    </row>
    <row r="816">
      <c r="A816" s="22" t="n"/>
    </row>
    <row r="817">
      <c r="A817" s="22" t="n"/>
    </row>
    <row r="818">
      <c r="A818" s="22" t="n"/>
    </row>
    <row r="819">
      <c r="A819" s="22" t="n"/>
    </row>
    <row r="820">
      <c r="A820" s="22" t="n"/>
    </row>
    <row r="821">
      <c r="A821" s="22" t="n"/>
    </row>
    <row r="822">
      <c r="A822" s="22" t="n"/>
    </row>
    <row r="823">
      <c r="A823" s="22" t="n"/>
    </row>
    <row r="824">
      <c r="A824" s="22" t="n"/>
    </row>
    <row r="825">
      <c r="A825" s="22" t="n"/>
    </row>
    <row r="826">
      <c r="A826" s="22" t="n"/>
    </row>
    <row r="827">
      <c r="A827" s="22" t="n"/>
    </row>
    <row r="828">
      <c r="A828" s="22" t="n"/>
    </row>
    <row r="829">
      <c r="A829" s="22" t="n"/>
    </row>
    <row r="830">
      <c r="A830" s="22" t="n"/>
    </row>
    <row r="831">
      <c r="A831" s="22" t="n"/>
    </row>
    <row r="832">
      <c r="A832" s="22" t="n"/>
    </row>
    <row r="833">
      <c r="A833" s="22" t="n"/>
    </row>
    <row r="834">
      <c r="A834" s="22" t="n"/>
    </row>
    <row r="835">
      <c r="A835" s="22" t="n"/>
    </row>
    <row r="836">
      <c r="A836" s="22" t="n"/>
    </row>
    <row r="837">
      <c r="A837" s="22" t="n"/>
    </row>
    <row r="838">
      <c r="A838" s="22" t="n"/>
    </row>
    <row r="839">
      <c r="A839" s="22" t="n"/>
    </row>
    <row r="840">
      <c r="A840" s="22" t="n"/>
    </row>
    <row r="841">
      <c r="A841" s="22" t="n"/>
    </row>
    <row r="842">
      <c r="A842" s="22" t="n"/>
    </row>
    <row r="843">
      <c r="A843" s="22" t="n"/>
    </row>
    <row r="844">
      <c r="A844" s="22" t="n"/>
    </row>
    <row r="845">
      <c r="A845" s="22" t="n"/>
    </row>
    <row r="846">
      <c r="A846" s="22" t="n"/>
    </row>
    <row r="847">
      <c r="A847" s="22" t="n"/>
    </row>
    <row r="848">
      <c r="A848" s="22" t="n"/>
    </row>
    <row r="849">
      <c r="A849" s="22" t="n"/>
    </row>
    <row r="850">
      <c r="A850" s="22" t="n"/>
    </row>
    <row r="851">
      <c r="A851" s="22" t="n"/>
    </row>
    <row r="852">
      <c r="A852" s="22" t="n"/>
    </row>
    <row r="853">
      <c r="A853" s="22" t="n"/>
    </row>
    <row r="854">
      <c r="A854" s="22" t="n"/>
    </row>
    <row r="855">
      <c r="A855" s="22" t="n"/>
    </row>
    <row r="856">
      <c r="A856" s="22" t="n"/>
    </row>
    <row r="857">
      <c r="A857" s="22" t="n"/>
    </row>
    <row r="858">
      <c r="A858" s="22" t="n"/>
    </row>
    <row r="859">
      <c r="A859" s="22" t="n"/>
    </row>
    <row r="860">
      <c r="A860" s="22" t="n"/>
    </row>
    <row r="861">
      <c r="A861" s="22" t="n"/>
    </row>
    <row r="862">
      <c r="A862" s="22" t="n"/>
    </row>
    <row r="863">
      <c r="A863" s="22" t="n"/>
    </row>
    <row r="864">
      <c r="A864" s="22" t="n"/>
    </row>
    <row r="865">
      <c r="A865" s="22" t="n"/>
    </row>
    <row r="866">
      <c r="A866" s="22" t="n"/>
    </row>
    <row r="867">
      <c r="A867" s="22" t="n"/>
    </row>
    <row r="868">
      <c r="A868" s="22" t="n"/>
    </row>
    <row r="869">
      <c r="A869" s="22" t="n"/>
    </row>
    <row r="870">
      <c r="A870" s="22" t="n"/>
    </row>
    <row r="871">
      <c r="A871" s="22" t="n"/>
    </row>
    <row r="872">
      <c r="A872" s="22" t="n"/>
    </row>
    <row r="873">
      <c r="A873" s="22" t="n"/>
    </row>
    <row r="874">
      <c r="A874" s="22" t="n"/>
    </row>
    <row r="875">
      <c r="A875" s="22" t="n"/>
    </row>
    <row r="876">
      <c r="A876" s="22" t="n"/>
    </row>
    <row r="877">
      <c r="A877" s="22" t="n"/>
    </row>
    <row r="878">
      <c r="A878" s="22" t="n"/>
    </row>
    <row r="879">
      <c r="A879" s="22" t="n"/>
    </row>
    <row r="880">
      <c r="A880" s="22" t="n"/>
    </row>
    <row r="881">
      <c r="A881" s="22" t="n"/>
    </row>
    <row r="882">
      <c r="A882" s="22" t="n"/>
    </row>
    <row r="883">
      <c r="A883" s="22" t="n"/>
    </row>
    <row r="884">
      <c r="A884" s="22" t="n"/>
    </row>
    <row r="885">
      <c r="A885" s="22" t="n"/>
    </row>
    <row r="886">
      <c r="A886" s="22" t="n"/>
    </row>
    <row r="887">
      <c r="A887" s="22" t="n"/>
    </row>
    <row r="888">
      <c r="A888" s="22" t="n"/>
    </row>
    <row r="889">
      <c r="A889" s="22" t="n"/>
    </row>
    <row r="890">
      <c r="A890" s="22" t="n"/>
    </row>
    <row r="891">
      <c r="A891" s="22" t="n"/>
    </row>
    <row r="892">
      <c r="A892" s="22" t="n"/>
    </row>
    <row r="893">
      <c r="A893" s="22" t="n"/>
    </row>
    <row r="894">
      <c r="A894" s="22" t="n"/>
    </row>
    <row r="895">
      <c r="A895" s="22" t="n"/>
    </row>
    <row r="896">
      <c r="A896" s="22" t="n"/>
    </row>
    <row r="897">
      <c r="A897" s="22" t="n"/>
    </row>
    <row r="898">
      <c r="A898" s="22" t="n"/>
    </row>
    <row r="899">
      <c r="A899" s="22" t="n"/>
    </row>
    <row r="900">
      <c r="A900" s="22" t="n"/>
    </row>
    <row r="901">
      <c r="A901" s="22" t="n"/>
    </row>
    <row r="902">
      <c r="A902" s="22" t="n"/>
    </row>
    <row r="903">
      <c r="A903" s="22" t="n"/>
    </row>
    <row r="904">
      <c r="A904" s="22" t="n"/>
    </row>
    <row r="905">
      <c r="A905" s="22" t="n"/>
    </row>
    <row r="906">
      <c r="A906" s="22" t="n"/>
    </row>
    <row r="907">
      <c r="A907" s="22" t="n"/>
    </row>
    <row r="908">
      <c r="A908" s="22" t="n"/>
    </row>
    <row r="909">
      <c r="A909" s="22" t="n"/>
    </row>
    <row r="910">
      <c r="A910" s="22" t="n"/>
    </row>
    <row r="911">
      <c r="A911" s="22" t="n"/>
    </row>
    <row r="912">
      <c r="A912" s="22" t="n"/>
    </row>
    <row r="913">
      <c r="A913" s="22" t="n"/>
    </row>
    <row r="914">
      <c r="A914" s="22" t="n"/>
    </row>
    <row r="915">
      <c r="A915" s="22" t="n"/>
    </row>
    <row r="916">
      <c r="A916" s="22" t="n"/>
    </row>
    <row r="917">
      <c r="A917" s="22" t="n"/>
    </row>
    <row r="918">
      <c r="A918" s="22" t="n"/>
    </row>
    <row r="919">
      <c r="A919" s="22" t="n"/>
    </row>
    <row r="920">
      <c r="A920" s="22" t="n"/>
    </row>
    <row r="921">
      <c r="A921" s="22" t="n"/>
    </row>
    <row r="922">
      <c r="A922" s="22" t="n"/>
    </row>
    <row r="923">
      <c r="A923" s="22" t="n"/>
    </row>
    <row r="924">
      <c r="A924" s="22" t="n"/>
    </row>
    <row r="925">
      <c r="A925" s="22" t="n"/>
    </row>
    <row r="926">
      <c r="A926" s="22" t="n"/>
    </row>
    <row r="927">
      <c r="A927" s="22" t="n"/>
    </row>
    <row r="928">
      <c r="A928" s="22" t="n"/>
    </row>
    <row r="929">
      <c r="A929" s="22" t="n"/>
    </row>
    <row r="930">
      <c r="A930" s="22" t="n"/>
    </row>
    <row r="931">
      <c r="A931" s="22" t="n"/>
    </row>
    <row r="932">
      <c r="A932" s="22" t="n"/>
    </row>
    <row r="933">
      <c r="A933" s="22" t="n"/>
    </row>
    <row r="934">
      <c r="A934" s="22" t="n"/>
    </row>
    <row r="935">
      <c r="A935" s="22" t="n"/>
    </row>
    <row r="936">
      <c r="A936" s="22" t="n"/>
    </row>
    <row r="937">
      <c r="A937" s="22" t="n"/>
    </row>
    <row r="938">
      <c r="A938" s="22" t="n"/>
    </row>
    <row r="939">
      <c r="A939" s="22" t="n"/>
    </row>
    <row r="940">
      <c r="A940" s="22" t="n"/>
    </row>
    <row r="941">
      <c r="A941" s="22" t="n"/>
    </row>
    <row r="942">
      <c r="A942" s="22" t="n"/>
    </row>
    <row r="943">
      <c r="A943" s="22" t="n"/>
    </row>
    <row r="944">
      <c r="A944" s="22" t="n"/>
    </row>
    <row r="945">
      <c r="A945" s="22" t="n"/>
    </row>
    <row r="946">
      <c r="A946" s="22" t="n"/>
    </row>
    <row r="947">
      <c r="A947" s="22" t="n"/>
    </row>
    <row r="948">
      <c r="A948" s="22" t="n"/>
    </row>
    <row r="949">
      <c r="A949" s="22" t="n"/>
    </row>
    <row r="950">
      <c r="A950" s="22" t="n"/>
    </row>
    <row r="951">
      <c r="A951" s="22" t="n"/>
    </row>
    <row r="952">
      <c r="A952" s="22" t="n"/>
    </row>
    <row r="953">
      <c r="A953" s="22" t="n"/>
    </row>
    <row r="954">
      <c r="A954" s="22" t="n"/>
    </row>
    <row r="955">
      <c r="A955" s="22" t="n"/>
    </row>
    <row r="956">
      <c r="A956" s="22" t="n"/>
    </row>
    <row r="957">
      <c r="A957" s="22" t="n"/>
    </row>
    <row r="958">
      <c r="A958" s="22" t="n"/>
    </row>
    <row r="959">
      <c r="A959" s="22" t="n"/>
    </row>
    <row r="960">
      <c r="A960" s="22" t="n"/>
    </row>
    <row r="961">
      <c r="A961" s="22" t="n"/>
    </row>
    <row r="962">
      <c r="A962" s="22" t="n"/>
    </row>
    <row r="963">
      <c r="A963" s="22" t="n"/>
    </row>
    <row r="964">
      <c r="A964" s="22" t="n"/>
    </row>
    <row r="965">
      <c r="A965" s="22" t="n"/>
    </row>
    <row r="966">
      <c r="A966" s="22" t="n"/>
    </row>
    <row r="967">
      <c r="A967" s="22" t="n"/>
    </row>
    <row r="968">
      <c r="A968" s="22" t="n"/>
    </row>
    <row r="969">
      <c r="A969" s="22" t="n"/>
    </row>
    <row r="970">
      <c r="A970" s="22" t="n"/>
    </row>
    <row r="971">
      <c r="A971" s="22" t="n"/>
    </row>
    <row r="972">
      <c r="A972" s="22" t="n"/>
    </row>
    <row r="973">
      <c r="A973" s="22" t="n"/>
    </row>
    <row r="974">
      <c r="A974" s="22" t="n"/>
    </row>
    <row r="975">
      <c r="A975" s="22" t="n"/>
    </row>
    <row r="976">
      <c r="A976" s="22" t="n"/>
    </row>
    <row r="977">
      <c r="A977" s="22" t="n"/>
    </row>
    <row r="978">
      <c r="A978" s="22" t="n"/>
    </row>
    <row r="979">
      <c r="A979" s="22" t="n"/>
    </row>
    <row r="980">
      <c r="A980" s="22" t="n"/>
    </row>
    <row r="981">
      <c r="A981" s="22" t="n"/>
    </row>
    <row r="982">
      <c r="A982" s="22" t="n"/>
    </row>
    <row r="983">
      <c r="A983" s="22" t="n"/>
    </row>
    <row r="984">
      <c r="A984" s="22" t="n"/>
    </row>
    <row r="985">
      <c r="A985" s="22" t="n"/>
    </row>
    <row r="986">
      <c r="A986" s="22" t="n"/>
    </row>
    <row r="987">
      <c r="A987" s="22" t="n"/>
    </row>
    <row r="988">
      <c r="A988" s="22" t="n"/>
    </row>
    <row r="989">
      <c r="A989" s="22" t="n"/>
    </row>
    <row r="990">
      <c r="A990" s="22" t="n"/>
    </row>
    <row r="991">
      <c r="A991" s="22" t="n"/>
    </row>
    <row r="992">
      <c r="A992" s="22" t="n"/>
    </row>
    <row r="993">
      <c r="A993" s="22" t="n"/>
    </row>
    <row r="994">
      <c r="A994" s="22" t="n"/>
    </row>
    <row r="995">
      <c r="A995" s="22" t="n"/>
    </row>
    <row r="996">
      <c r="A996" s="22" t="n"/>
    </row>
    <row r="997">
      <c r="A997" s="22" t="n"/>
    </row>
    <row r="998">
      <c r="A998" s="22" t="n"/>
    </row>
    <row r="999">
      <c r="A999" s="22" t="n"/>
    </row>
    <row r="1000">
      <c r="A1000" s="22" t="n"/>
    </row>
  </sheetData>
  <dataValidations count="1">
    <dataValidation sqref="N2:O10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2026-10-19T13:12:35Z</dcterms:created>
  <dcterms:modified xmlns:dcterms="http://purl.org/dc/terms/" xmlns:xsi="http://www.w3.org/2001/XMLSchema-instance" xsi:type="dcterms:W3CDTF">2026-10-19T13:12:35Z</dcterms:modified>
</cp:coreProperties>
</file>