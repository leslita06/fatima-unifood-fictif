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Répartition" sheetId="2" state="visible" r:id="rId2"/>
    <sheet xmlns:r="http://schemas.openxmlformats.org/officeDocument/2006/relationships" name="Plan média" sheetId="3" state="visible" r:id="rId3"/>
    <sheet xmlns:r="http://schemas.openxmlformats.org/officeDocument/2006/relationships" name="Calendrier" sheetId="4" state="visible" r:id="rId4"/>
    <sheet xmlns:r="http://schemas.openxmlformats.org/officeDocument/2006/relationships" name="Estimations" sheetId="5" state="visible" r:id="rId5"/>
    <sheet xmlns:r="http://schemas.openxmlformats.org/officeDocument/2006/relationships" name="Pilotage et risques" sheetId="6" state="visible" r:id="rId6"/>
  </sheets>
  <definedNames/>
  <calcPr calcId="124519" fullCalcOnLoad="1"/>
</workbook>
</file>

<file path=xl/styles.xml><?xml version="1.0" encoding="utf-8"?>
<styleSheet xmlns="http://schemas.openxmlformats.org/spreadsheetml/2006/main">
  <numFmts count="2">
    <numFmt numFmtId="164" formatCode="#,##0&quot; F&quot;"/>
    <numFmt numFmtId="165" formatCode="0.0%"/>
  </numFmts>
  <fonts count="8">
    <font>
      <name val="Calibri"/>
      <family val="2"/>
      <color theme="1"/>
      <sz val="11"/>
      <scheme val="minor"/>
    </font>
    <font>
      <name val="Poppins"/>
      <b val="1"/>
      <color rgb="00F07F2A"/>
      <sz val="16"/>
    </font>
    <font>
      <name val="Poppins"/>
      <i val="1"/>
      <color rgb="006E6A66"/>
    </font>
    <font>
      <name val="Poppins"/>
      <b val="1"/>
      <color rgb="00FFFFFF"/>
    </font>
    <font>
      <name val="Poppins"/>
      <color rgb="001C1B1A"/>
      <sz val="10"/>
    </font>
    <font>
      <name val="Poppins"/>
      <b val="1"/>
      <color rgb="001C1B1A"/>
      <sz val="10"/>
    </font>
    <font>
      <name val="Poppins"/>
      <b val="1"/>
      <color rgb="00F07F2A"/>
      <sz val="10"/>
    </font>
    <font>
      <name val="Poppins"/>
      <b val="1"/>
      <color rgb="00F07F2A"/>
      <sz val="12"/>
    </font>
  </fonts>
  <fills count="5">
    <fill>
      <patternFill/>
    </fill>
    <fill>
      <patternFill patternType="gray125"/>
    </fill>
    <fill>
      <patternFill patternType="solid">
        <fgColor rgb="001C1B1A"/>
      </patternFill>
    </fill>
    <fill>
      <patternFill patternType="solid">
        <fgColor rgb="00FBF5EE"/>
      </patternFill>
    </fill>
    <fill>
      <patternFill patternType="solid">
        <fgColor rgb="00FDE2CC"/>
      </patternFill>
    </fill>
  </fills>
  <borders count="2">
    <border>
      <left/>
      <right/>
      <top/>
      <bottom/>
      <diagonal/>
    </border>
    <border>
      <bottom style="thin">
        <color rgb="00E8DED3"/>
      </bottom>
    </border>
  </borders>
  <cellStyleXfs count="1">
    <xf numFmtId="0" fontId="0" fillId="0" borderId="0"/>
  </cellStyleXfs>
  <cellXfs count="27">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0" applyAlignment="1" pivotButton="0" quotePrefix="0" xfId="0">
      <alignment vertical="center" wrapText="1"/>
    </xf>
    <xf numFmtId="0" fontId="5" fillId="0"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top" wrapText="1"/>
    </xf>
    <xf numFmtId="0" fontId="4" fillId="3" borderId="1" applyAlignment="1" pivotButton="0" quotePrefix="0" xfId="0">
      <alignment vertical="top" wrapText="1"/>
    </xf>
    <xf numFmtId="0" fontId="7" fillId="0" borderId="0" pivotButton="0" quotePrefix="0" xfId="0"/>
    <xf numFmtId="164" fontId="4" fillId="0" borderId="1" applyAlignment="1" pivotButton="0" quotePrefix="0" xfId="0">
      <alignment vertical="top" wrapText="1"/>
    </xf>
    <xf numFmtId="9" fontId="4" fillId="0" borderId="1" applyAlignment="1" pivotButton="0" quotePrefix="0" xfId="0">
      <alignment vertical="top" wrapText="1"/>
    </xf>
    <xf numFmtId="164" fontId="4" fillId="3" borderId="1" applyAlignment="1" pivotButton="0" quotePrefix="0" xfId="0">
      <alignment vertical="top" wrapText="1"/>
    </xf>
    <xf numFmtId="9" fontId="4" fillId="3" borderId="1" applyAlignment="1" pivotButton="0" quotePrefix="0" xfId="0">
      <alignment vertical="top" wrapText="1"/>
    </xf>
    <xf numFmtId="0" fontId="6" fillId="0" borderId="0" pivotButton="0" quotePrefix="0" xfId="0"/>
    <xf numFmtId="164" fontId="6" fillId="0" borderId="0" pivotButton="0" quotePrefix="0" xfId="0"/>
    <xf numFmtId="0" fontId="5" fillId="0" borderId="0" pivotButton="0" quotePrefix="0" xfId="0"/>
    <xf numFmtId="164" fontId="5" fillId="0" borderId="0" pivotButton="0" quotePrefix="0" xfId="0"/>
    <xf numFmtId="9" fontId="5" fillId="0" borderId="0" pivotButton="0" quotePrefix="0" xfId="0"/>
    <xf numFmtId="0" fontId="4" fillId="0" borderId="0" applyAlignment="1" pivotButton="0" quotePrefix="0" xfId="0">
      <alignment vertical="top" wrapText="1"/>
    </xf>
    <xf numFmtId="164" fontId="0" fillId="0" borderId="0" pivotButton="0" quotePrefix="0" xfId="0"/>
    <xf numFmtId="3" fontId="4" fillId="4" borderId="1" applyAlignment="1" pivotButton="0" quotePrefix="0" xfId="0">
      <alignment vertical="top" wrapText="1"/>
    </xf>
    <xf numFmtId="3" fontId="4" fillId="0" borderId="1" applyAlignment="1" pivotButton="0" quotePrefix="0" xfId="0">
      <alignment vertical="top" wrapText="1"/>
    </xf>
    <xf numFmtId="165" fontId="4" fillId="4" borderId="1" applyAlignment="1" pivotButton="0" quotePrefix="0" xfId="0">
      <alignment vertical="top" wrapText="1"/>
    </xf>
    <xf numFmtId="1" fontId="4" fillId="0" borderId="1" applyAlignment="1" pivotButton="0" quotePrefix="0" xfId="0">
      <alignment vertical="top" wrapText="1"/>
    </xf>
    <xf numFmtId="1" fontId="5" fillId="0" borderId="0" pivotButton="0" quotePrefix="0" xfId="0"/>
    <xf numFmtId="9" fontId="0" fillId="4"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114425" cy="5143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D28"/>
  <sheetViews>
    <sheetView showGridLines="0" workbookViewId="0">
      <selection activeCell="A1" sqref="A1"/>
    </sheetView>
  </sheetViews>
  <sheetFormatPr baseColWidth="8" defaultRowHeight="15"/>
  <cols>
    <col width="30" customWidth="1" min="1" max="1"/>
    <col width="60" customWidth="1" min="2" max="2"/>
    <col width="14" customWidth="1" min="3" max="3"/>
    <col width="30" customWidth="1" min="4" max="4"/>
  </cols>
  <sheetData>
    <row r="1" ht="58" customHeight="1">
      <c r="C1" s="1" t="inlineStr">
        <is>
          <t>Origin7 · Plan média de janvier 2027 · 5 000 000 F CFA</t>
        </is>
      </c>
    </row>
    <row r="2">
      <c r="C2" s="2" t="inlineStr">
        <is>
          <t>Version 1 du 20 octobre 2026, à valider par la direction.</t>
        </is>
      </c>
    </row>
    <row r="4" ht="32" customHeight="1">
      <c r="A4" s="3" t="inlineStr"/>
      <c r="B4" s="3" t="inlineStr">
        <is>
          <t>En bref</t>
        </is>
      </c>
      <c r="C4" s="3" t="inlineStr"/>
      <c r="D4" s="3" t="inlineStr"/>
    </row>
    <row r="5" ht="46" customHeight="1">
      <c r="A5" s="4" t="inlineStr">
        <is>
          <t>Période</t>
        </is>
      </c>
      <c r="B5" s="5" t="inlineStr">
        <is>
          <t>4 semaines, du lundi 11 janvier au dimanche 7 février 2027 : le moment où les entreprises ouvrent leurs budgets de l'année et choisissent leurs prestataires.</t>
        </is>
      </c>
      <c r="C5" s="5" t="n"/>
      <c r="D5" s="5" t="n"/>
    </row>
    <row r="6" ht="46" customHeight="1">
      <c r="A6" s="6" t="inlineStr">
        <is>
          <t>Objectif</t>
        </is>
      </c>
      <c r="B6" s="7" t="inlineStr">
        <is>
          <t>25 demandes de devis qualifiées, 12 rendez-vous et 4 contrats signés sous 60 jours.</t>
        </is>
      </c>
      <c r="C6" s="7" t="n"/>
      <c r="D6" s="7" t="n"/>
    </row>
    <row r="7" ht="46" customHeight="1">
      <c r="A7" s="4" t="inlineStr">
        <is>
          <t>Cible</t>
        </is>
      </c>
      <c r="B7" s="5" t="inlineStr">
        <is>
          <t>Directions communication, marketing, ressources humaines et générales des entreprises de plus de 50 salariés à Abidjan, qui organisent lancements, salons et soirées.</t>
        </is>
      </c>
      <c r="C7" s="5" t="n"/>
      <c r="D7" s="5" t="n"/>
    </row>
    <row r="8" ht="46" customHeight="1">
      <c r="A8" s="6" t="inlineStr">
        <is>
          <t>Message</t>
        </is>
      </c>
      <c r="B8" s="7" t="inlineStr">
        <is>
          <t>« Votre événement est prêt le jour J, même quand tout s'est décidé la veille. » La campagne « Au 7e jour » montre les coulisses réelles de vos délais courts.</t>
        </is>
      </c>
      <c r="C8" s="7" t="n"/>
      <c r="D8" s="7" t="n"/>
    </row>
    <row r="9" ht="46" customHeight="1">
      <c r="A9" s="4" t="inlineStr">
        <is>
          <t>Le parti pris</t>
        </is>
      </c>
      <c r="B9" s="5" t="inlineStr">
        <is>
          <t>70 % du budget sur des canaux où se trouvent les décideurs et où chaque franc se mesure : LinkedIn, Google, presse économique en ligne, coffrets livrés en main propre. Pas de radio, de télévision ni d'affichage : trop large pour une cible aussi précise.</t>
        </is>
      </c>
      <c r="C9" s="5" t="n"/>
      <c r="D9" s="5" t="n"/>
    </row>
    <row r="10" ht="46" customHeight="1">
      <c r="A10" s="6" t="inlineStr">
        <is>
          <t>Le contrôle</t>
        </is>
      </c>
      <c r="B10" s="7" t="inlineStr">
        <is>
          <t>Point chaque lundi ; une annonce qui coûte plus de 150 000 F par demande qualifiée est coupée. La réserve de 500 000 F va le 25 janvier au canal qui marche le mieux.</t>
        </is>
      </c>
      <c r="C10" s="7" t="n"/>
      <c r="D10" s="7" t="n"/>
    </row>
    <row r="12">
      <c r="A12" s="8" t="inlineStr">
        <is>
          <t>La répartition en un coup d'œil</t>
        </is>
      </c>
    </row>
    <row r="13" ht="32" customHeight="1">
      <c r="A13" s="3" t="inlineStr">
        <is>
          <t>Poste</t>
        </is>
      </c>
      <c r="B13" s="3" t="inlineStr">
        <is>
          <t>Montant</t>
        </is>
      </c>
      <c r="C13" s="3" t="inlineStr">
        <is>
          <t>Part</t>
        </is>
      </c>
      <c r="D13" s="3" t="inlineStr">
        <is>
          <t>Indicateur</t>
        </is>
      </c>
    </row>
    <row r="14">
      <c r="A14" s="4">
        <f>'Répartition'!A5</f>
        <v/>
      </c>
      <c r="B14" s="9">
        <f>'Répartition'!C5</f>
        <v/>
      </c>
      <c r="C14" s="10">
        <f>'Répartition'!D5</f>
        <v/>
      </c>
      <c r="D14" s="5" t="inlineStr">
        <is>
          <t>Demandes qualifiées</t>
        </is>
      </c>
    </row>
    <row r="15">
      <c r="A15" s="6">
        <f>'Répartition'!A6</f>
        <v/>
      </c>
      <c r="B15" s="11">
        <f>'Répartition'!C6</f>
        <v/>
      </c>
      <c r="C15" s="12">
        <f>'Répartition'!D6</f>
        <v/>
      </c>
      <c r="D15" s="7" t="inlineStr">
        <is>
          <t>Messages et demandes</t>
        </is>
      </c>
    </row>
    <row r="16">
      <c r="A16" s="4">
        <f>'Répartition'!A7</f>
        <v/>
      </c>
      <c r="B16" s="9">
        <f>'Répartition'!C7</f>
        <v/>
      </c>
      <c r="C16" s="10">
        <f>'Répartition'!D7</f>
        <v/>
      </c>
      <c r="D16" s="5" t="inlineStr">
        <is>
          <t>Demandes via le site</t>
        </is>
      </c>
    </row>
    <row r="17">
      <c r="A17" s="6">
        <f>'Répartition'!A8</f>
        <v/>
      </c>
      <c r="B17" s="11">
        <f>'Répartition'!C8</f>
        <v/>
      </c>
      <c r="C17" s="12">
        <f>'Répartition'!D8</f>
        <v/>
      </c>
      <c r="D17" s="7" t="inlineStr">
        <is>
          <t>Visites du site</t>
        </is>
      </c>
    </row>
    <row r="18">
      <c r="A18" s="4">
        <f>'Répartition'!A9</f>
        <v/>
      </c>
      <c r="B18" s="9">
        <f>'Répartition'!C9</f>
        <v/>
      </c>
      <c r="C18" s="10">
        <f>'Répartition'!D9</f>
        <v/>
      </c>
      <c r="D18" s="5" t="inlineStr">
        <is>
          <t>Rendez-vous</t>
        </is>
      </c>
    </row>
    <row r="19">
      <c r="A19" s="6">
        <f>'Répartition'!A10</f>
        <v/>
      </c>
      <c r="B19" s="11">
        <f>'Répartition'!C10</f>
        <v/>
      </c>
      <c r="C19" s="12">
        <f>'Répartition'!D10</f>
        <v/>
      </c>
      <c r="D19" s="7" t="inlineStr">
        <is>
          <t>Contenus livrés</t>
        </is>
      </c>
    </row>
    <row r="20">
      <c r="A20" s="4">
        <f>'Répartition'!A11</f>
        <v/>
      </c>
      <c r="B20" s="9">
        <f>'Répartition'!C11</f>
        <v/>
      </c>
      <c r="C20" s="10">
        <f>'Répartition'!D11</f>
        <v/>
      </c>
      <c r="D20" s="5" t="inlineStr">
        <is>
          <t>Coût par demande</t>
        </is>
      </c>
    </row>
    <row r="21">
      <c r="A21" s="13" t="inlineStr">
        <is>
          <t>Total</t>
        </is>
      </c>
      <c r="B21" s="14">
        <f>'Répartition'!C12</f>
        <v/>
      </c>
      <c r="C21" s="13">
        <f>'Répartition'!C13</f>
        <v/>
      </c>
    </row>
    <row r="23">
      <c r="A23" s="8" t="inlineStr">
        <is>
          <t>Les onglets</t>
        </is>
      </c>
    </row>
    <row r="24">
      <c r="A24" s="4" t="inlineStr">
        <is>
          <t>Répartition</t>
        </is>
      </c>
      <c r="B24" s="5" t="inlineStr">
        <is>
          <t>Le budget poste par poste, ce que chaque franc achète et sa règle de dépense</t>
        </is>
      </c>
      <c r="C24" s="5" t="n"/>
      <c r="D24" s="5" t="n"/>
    </row>
    <row r="25">
      <c r="A25" s="4" t="inlineStr">
        <is>
          <t>Plan média</t>
        </is>
      </c>
      <c r="B25" s="5" t="inlineStr">
        <is>
          <t>Chaque support : cible, format, message, période, budget, objectif, responsable ; et les canaux sans achat</t>
        </is>
      </c>
      <c r="C25" s="5" t="n"/>
      <c r="D25" s="5" t="n"/>
    </row>
    <row r="26">
      <c r="A26" s="4" t="inlineStr">
        <is>
          <t>Calendrier</t>
        </is>
      </c>
      <c r="B26" s="5" t="inlineStr">
        <is>
          <t>La dépense semaine par semaine et les rendez-vous du mois</t>
        </is>
      </c>
      <c r="C26" s="5" t="n"/>
      <c r="D26" s="5" t="n"/>
    </row>
    <row r="27">
      <c r="A27" s="4" t="inlineStr">
        <is>
          <t>Estimations</t>
        </is>
      </c>
      <c r="B27" s="5" t="inlineStr">
        <is>
          <t>Ce que le budget peut produire, avec des hypothèses modifiables</t>
        </is>
      </c>
      <c r="C27" s="5" t="n"/>
      <c r="D27" s="5" t="n"/>
    </row>
    <row r="28">
      <c r="A28" s="4" t="inlineStr">
        <is>
          <t>Pilotage et risques</t>
        </is>
      </c>
      <c r="B28" s="5" t="inlineStr">
        <is>
          <t>Les indicateurs du lundi, les risques et les décisions à prendre</t>
        </is>
      </c>
      <c r="C28" s="5" t="n"/>
      <c r="D28" s="5" t="n"/>
    </row>
  </sheetData>
  <mergeCells count="11">
    <mergeCell ref="B10:D10"/>
    <mergeCell ref="B28:D28"/>
    <mergeCell ref="B5:D5"/>
    <mergeCell ref="B8:D8"/>
    <mergeCell ref="B26:D26"/>
    <mergeCell ref="B9:D9"/>
    <mergeCell ref="B27:D27"/>
    <mergeCell ref="B7:D7"/>
    <mergeCell ref="B25:D25"/>
    <mergeCell ref="B6:D6"/>
    <mergeCell ref="B24:D2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34" customWidth="1" min="1" max="1"/>
    <col width="24" customWidth="1" min="2" max="2"/>
    <col width="15" customWidth="1" min="3" max="3"/>
    <col width="8" customWidth="1" min="4" max="4"/>
    <col width="62" customWidth="1" min="5" max="5"/>
    <col width="50" customWidth="1" min="6" max="6"/>
  </cols>
  <sheetData>
    <row r="1" ht="58" customHeight="1">
      <c r="C1" s="1" t="inlineStr">
        <is>
          <t>Répartition du budget : 5 000 000 F CFA sur un mois</t>
        </is>
      </c>
    </row>
    <row r="2">
      <c r="C2" s="2" t="inlineStr">
        <is>
          <t>Du lundi 11 janvier au dimanche 7 février 2027. Montants en F CFA, toutes taxes comprises.</t>
        </is>
      </c>
    </row>
    <row r="4" ht="32" customHeight="1">
      <c r="A4" s="3" t="inlineStr">
        <is>
          <t>Poste</t>
        </is>
      </c>
      <c r="B4" s="3" t="inlineStr">
        <is>
          <t>Famille</t>
        </is>
      </c>
      <c r="C4" s="3" t="inlineStr">
        <is>
          <t>Montant</t>
        </is>
      </c>
      <c r="D4" s="3" t="inlineStr">
        <is>
          <t>Part</t>
        </is>
      </c>
      <c r="E4" s="3" t="inlineStr">
        <is>
          <t>Ce que ça achète</t>
        </is>
      </c>
      <c r="F4" s="3" t="inlineStr">
        <is>
          <t>Règle de dépense</t>
        </is>
      </c>
    </row>
    <row r="5">
      <c r="A5" s="4" t="inlineStr">
        <is>
          <t>Publicité LinkedIn</t>
        </is>
      </c>
      <c r="B5" s="5" t="inlineStr">
        <is>
          <t>Publicité en ligne</t>
        </is>
      </c>
      <c r="C5" s="9" t="n">
        <v>1600000</v>
      </c>
      <c r="D5" s="10">
        <f>C5/$C$12</f>
        <v/>
      </c>
      <c r="E5" s="5" t="inlineStr">
        <is>
          <t>Vidéos « Au 7e jour » et formulaire de demande de devis intégré, auprès des directions communication, marketing, RH et générales d'Abidjan</t>
        </is>
      </c>
      <c r="F5" s="5" t="inlineStr">
        <is>
          <t>Plafond quotidien fixé dans la régie ; arrêt d'une annonce au-delà de 150 000 F par demande qualifiée</t>
        </is>
      </c>
    </row>
    <row r="6">
      <c r="A6" s="6" t="inlineStr">
        <is>
          <t>Publicité Facebook et Instagram</t>
        </is>
      </c>
      <c r="B6" s="7" t="inlineStr">
        <is>
          <t>Publicité en ligne</t>
        </is>
      </c>
      <c r="C6" s="11" t="n">
        <v>600000</v>
      </c>
      <c r="D6" s="12">
        <f>C6/$C$12</f>
        <v/>
      </c>
      <c r="E6" s="7" t="inlineStr">
        <is>
          <t>Diffusion des vidéos et carrousels, puis relance des personnes qui ont vu les vidéos ou visité le site</t>
        </is>
      </c>
      <c r="F6" s="7" t="inlineStr">
        <is>
          <t>Plafond quotidien ; 70 % en relance des personnes déjà touchées dès la 2e semaine</t>
        </is>
      </c>
    </row>
    <row r="7">
      <c r="A7" s="4" t="inlineStr">
        <is>
          <t>Publicité Google (recherche)</t>
        </is>
      </c>
      <c r="B7" s="5" t="inlineStr">
        <is>
          <t>Publicité en ligne</t>
        </is>
      </c>
      <c r="C7" s="9" t="n">
        <v>500000</v>
      </c>
      <c r="D7" s="10">
        <f>C7/$C$12</f>
        <v/>
      </c>
      <c r="E7" s="5" t="inlineStr">
        <is>
          <t>Annonces sur les recherches « agence événementielle Abidjan », « organisation soirée entreprise », « stand salon Abidjan »</t>
        </is>
      </c>
      <c r="F7" s="5" t="inlineStr">
        <is>
          <t>Enchères plafonnées ; mots-clés sans demande coupés au bout de 7 jours</t>
        </is>
      </c>
    </row>
    <row r="8">
      <c r="A8" s="6" t="inlineStr">
        <is>
          <t>Presse économique en ligne</t>
        </is>
      </c>
      <c r="B8" s="7" t="inlineStr">
        <is>
          <t>Presse et relations médias</t>
        </is>
      </c>
      <c r="C8" s="11" t="n">
        <v>700000</v>
      </c>
      <c r="D8" s="12">
        <f>C8/$C$12</f>
        <v/>
      </c>
      <c r="E8" s="7" t="inlineStr">
        <is>
          <t>2 articles sponsorisés (une étude de cas, une tribune sur les délais courts) et 1 insertion dans une lettre d'information économique</t>
        </is>
      </c>
      <c r="F8" s="7" t="inlineStr">
        <is>
          <t>Paiement à la publication, sur devis signé ; textes validés par la direction</t>
        </is>
      </c>
    </row>
    <row r="9">
      <c r="A9" s="4" t="inlineStr">
        <is>
          <t>Coffrets « Au 7e jour » aux décideurs</t>
        </is>
      </c>
      <c r="B9" s="5" t="inlineStr">
        <is>
          <t>Marketing direct</t>
        </is>
      </c>
      <c r="C9" s="9" t="n">
        <v>400000</v>
      </c>
      <c r="D9" s="10">
        <f>C9/$C$12</f>
        <v/>
      </c>
      <c r="E9" s="5" t="inlineStr">
        <is>
          <t>40 coffrets livrés en main propre aux décideurs prioritaires : carte manuscrite, objet de marque, QR code vers la prise de rendez-vous</t>
        </is>
      </c>
      <c r="F9" s="5" t="inlineStr">
        <is>
          <t>Liste des 40 décideurs validée par la direction avant commande</t>
        </is>
      </c>
    </row>
    <row r="10">
      <c r="A10" s="6" t="inlineStr">
        <is>
          <t>Production des contenus</t>
        </is>
      </c>
      <c r="B10" s="7" t="inlineStr">
        <is>
          <t>Production</t>
        </is>
      </c>
      <c r="C10" s="11" t="n">
        <v>700000</v>
      </c>
      <c r="D10" s="12">
        <f>C10/$C$12</f>
        <v/>
      </c>
      <c r="E10" s="7" t="inlineStr">
        <is>
          <t>4 vidéos courtes tournées sur des événements réels, 15 déclinaisons de visuels publicitaires, photos d'équipe</t>
        </is>
      </c>
      <c r="F10" s="7" t="inlineStr">
        <is>
          <t>Paiement sur livraison des fichiers ; droits d'usage accordés par écrit par les clients filmés</t>
        </is>
      </c>
    </row>
    <row r="11">
      <c r="A11" s="4" t="inlineStr">
        <is>
          <t>Réserve</t>
        </is>
      </c>
      <c r="B11" s="5" t="inlineStr">
        <is>
          <t>Réserve</t>
        </is>
      </c>
      <c r="C11" s="9" t="n">
        <v>500000</v>
      </c>
      <c r="D11" s="10">
        <f>C11/$C$12</f>
        <v/>
      </c>
      <c r="E11" s="5" t="inlineStr">
        <is>
          <t>Débloquée le lundi 25 janvier sur le canal qui produit les demandes qualifiées les moins chères</t>
        </is>
      </c>
      <c r="F11" s="5" t="inlineStr">
        <is>
          <t>Aucun engagement sans accord écrit de la direction</t>
        </is>
      </c>
    </row>
    <row r="12">
      <c r="A12" s="15" t="inlineStr">
        <is>
          <t>Total</t>
        </is>
      </c>
      <c r="C12" s="16">
        <f>SUM(C5:C11)</f>
        <v/>
      </c>
      <c r="D12" s="17">
        <f>C12/5000000</f>
        <v/>
      </c>
    </row>
    <row r="13">
      <c r="A13" t="inlineStr">
        <is>
          <t>Contrôle</t>
        </is>
      </c>
      <c r="C13" s="13">
        <f>IF(C12=5000000,"Budget respecté","Écart au budget")</f>
        <v/>
      </c>
    </row>
    <row r="15">
      <c r="A15" s="8" t="inlineStr">
        <is>
          <t>Par grande famille</t>
        </is>
      </c>
    </row>
    <row r="16" ht="32" customHeight="1">
      <c r="A16" s="3" t="inlineStr">
        <is>
          <t>Famille</t>
        </is>
      </c>
      <c r="B16" s="3" t="inlineStr"/>
      <c r="C16" s="3" t="inlineStr">
        <is>
          <t>Montant</t>
        </is>
      </c>
      <c r="D16" s="3" t="inlineStr">
        <is>
          <t>Part</t>
        </is>
      </c>
    </row>
    <row r="17">
      <c r="A17" s="4" t="inlineStr">
        <is>
          <t>Publicité en ligne</t>
        </is>
      </c>
      <c r="B17" s="5" t="n"/>
      <c r="C17" s="9">
        <f>SUMIF($B$5:$B$11,A17,$C$5:$C$11)</f>
        <v/>
      </c>
      <c r="D17" s="10">
        <f>C17/$C$12</f>
        <v/>
      </c>
    </row>
    <row r="18">
      <c r="A18" s="4" t="inlineStr">
        <is>
          <t>Presse et relations médias</t>
        </is>
      </c>
      <c r="B18" s="5" t="n"/>
      <c r="C18" s="9">
        <f>SUMIF($B$5:$B$11,A18,$C$5:$C$11)</f>
        <v/>
      </c>
      <c r="D18" s="10">
        <f>C18/$C$12</f>
        <v/>
      </c>
    </row>
    <row r="19">
      <c r="A19" s="4" t="inlineStr">
        <is>
          <t>Marketing direct</t>
        </is>
      </c>
      <c r="B19" s="5" t="n"/>
      <c r="C19" s="9">
        <f>SUMIF($B$5:$B$11,A19,$C$5:$C$11)</f>
        <v/>
      </c>
      <c r="D19" s="10">
        <f>C19/$C$12</f>
        <v/>
      </c>
    </row>
    <row r="20">
      <c r="A20" s="4" t="inlineStr">
        <is>
          <t>Production</t>
        </is>
      </c>
      <c r="B20" s="5" t="n"/>
      <c r="C20" s="9">
        <f>SUMIF($B$5:$B$11,A20,$C$5:$C$11)</f>
        <v/>
      </c>
      <c r="D20" s="10">
        <f>C20/$C$12</f>
        <v/>
      </c>
    </row>
    <row r="21">
      <c r="A21" s="4" t="inlineStr">
        <is>
          <t>Réserve</t>
        </is>
      </c>
      <c r="B21" s="5" t="n"/>
      <c r="C21" s="9">
        <f>SUMIF($B$5:$B$11,A21,$C$5:$C$11)</f>
        <v/>
      </c>
      <c r="D21" s="10">
        <f>C21/$C$12</f>
        <v/>
      </c>
    </row>
    <row r="23" ht="48" customHeight="1">
      <c r="A23" s="18" t="inlineStr">
        <is>
          <t>Pourquoi cette répartition : vos clients sont des décideurs d'entreprise. Ils se trouvent sur LinkedIn, lisent la presse économique et recherchent un prestataire sur Google le jour où le besoin tombe. La radio, la télévision et l'affichage touchent surtout le grand public : avec 5 000 000 F, on y achèterait peu de passages, vus par peu de vos cibles.</t>
        </is>
      </c>
    </row>
  </sheetData>
  <mergeCells count="1">
    <mergeCell ref="A23:F2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1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42" customWidth="1" min="2" max="2"/>
    <col width="30" customWidth="1" min="3" max="3"/>
    <col width="34" customWidth="1" min="4" max="4"/>
    <col width="20" customWidth="1" min="5" max="5"/>
    <col width="13" customWidth="1" min="6" max="6"/>
    <col width="24" customWidth="1" min="7" max="7"/>
    <col width="16" customWidth="1" min="8" max="8"/>
    <col width="22" customWidth="1" min="9" max="9"/>
  </cols>
  <sheetData>
    <row r="1" ht="58" customHeight="1">
      <c r="C1" s="1" t="inlineStr">
        <is>
          <t>Plan média détaillé, support par support</t>
        </is>
      </c>
    </row>
    <row r="2">
      <c r="C2" s="2" t="inlineStr">
        <is>
          <t>Chaque ligne : à qui on parle, avec quoi, quand, pour combien, et ce qu'on en attend.</t>
        </is>
      </c>
    </row>
    <row r="4" ht="32" customHeight="1">
      <c r="A4" s="3" t="inlineStr">
        <is>
          <t>Support</t>
        </is>
      </c>
      <c r="B4" s="3" t="inlineStr">
        <is>
          <t>Cible</t>
        </is>
      </c>
      <c r="C4" s="3" t="inlineStr">
        <is>
          <t>Format</t>
        </is>
      </c>
      <c r="D4" s="3" t="inlineStr">
        <is>
          <t>Message</t>
        </is>
      </c>
      <c r="E4" s="3" t="inlineStr">
        <is>
          <t>Période</t>
        </is>
      </c>
      <c r="F4" s="3" t="inlineStr">
        <is>
          <t>Budget</t>
        </is>
      </c>
      <c r="G4" s="3" t="inlineStr">
        <is>
          <t>Indicateur principal</t>
        </is>
      </c>
      <c r="H4" s="3" t="inlineStr">
        <is>
          <t>Objectif du mois</t>
        </is>
      </c>
      <c r="I4" s="3" t="inlineStr">
        <is>
          <t>Responsable</t>
        </is>
      </c>
    </row>
    <row r="5" ht="78" customHeight="1">
      <c r="A5" s="4" t="inlineStr">
        <is>
          <t>Publicité LinkedIn</t>
        </is>
      </c>
      <c r="B5" s="5" t="inlineStr">
        <is>
          <t>Fonctions communication, marketing, RH, direction générale ; entreprises de plus de 50 salariés ; Abidjan. Exclusion : agences concurrentes</t>
        </is>
      </c>
      <c r="C5" s="5" t="inlineStr">
        <is>
          <t>Vidéo courte (30 s), carrousel « 7 erreurs », formulaire de devis intégré</t>
        </is>
      </c>
      <c r="D5" s="5" t="inlineStr">
        <is>
          <t>« Votre événement est prêt le jour J, même quand tout s'est décidé la veille. »</t>
        </is>
      </c>
      <c r="E5" s="5" t="inlineStr">
        <is>
          <t>11 janv. → 7 févr.</t>
        </is>
      </c>
      <c r="F5" s="9">
        <f>'Répartition'!C5</f>
        <v/>
      </c>
      <c r="G5" s="5" t="inlineStr">
        <is>
          <t>Demandes de devis qualifiées</t>
        </is>
      </c>
      <c r="H5" s="5" t="inlineStr">
        <is>
          <t>12</t>
        </is>
      </c>
      <c r="I5" s="5" t="inlineStr">
        <is>
          <t>Responsable digital</t>
        </is>
      </c>
    </row>
    <row r="6" ht="78" customHeight="1">
      <c r="A6" s="6" t="inlineStr">
        <is>
          <t>Publicité Facebook et Instagram</t>
        </is>
      </c>
      <c r="B6" s="7" t="inlineStr">
        <is>
          <t>Professionnels de la communication et de l'événementiel, Abidjan, 25-55 ans ; puis relance des personnes ayant vu 50 % d'une vidéo ou visité le site</t>
        </is>
      </c>
      <c r="C6" s="7" t="inlineStr">
        <is>
          <t>Reels 15-30 s, carrousels, stories</t>
        </is>
      </c>
      <c r="D6" s="7" t="inlineStr">
        <is>
          <t>Les coulisses de la veille du jour J</t>
        </is>
      </c>
      <c r="E6" s="7" t="inlineStr">
        <is>
          <t>11 janv. → 7 févr.</t>
        </is>
      </c>
      <c r="F6" s="11">
        <f>'Répartition'!C6</f>
        <v/>
      </c>
      <c r="G6" s="7" t="inlineStr">
        <is>
          <t>Messages WhatsApp et demandes reçues</t>
        </is>
      </c>
      <c r="H6" s="7" t="inlineStr">
        <is>
          <t>6</t>
        </is>
      </c>
      <c r="I6" s="7" t="inlineStr">
        <is>
          <t>Responsable digital</t>
        </is>
      </c>
    </row>
    <row r="7" ht="78" customHeight="1">
      <c r="A7" s="4" t="inlineStr">
        <is>
          <t>Publicité Google (recherche)</t>
        </is>
      </c>
      <c r="B7" s="5" t="inlineStr">
        <is>
          <t>Personnes qui cherchent une agence événementielle à Abidjan</t>
        </is>
      </c>
      <c r="C7" s="5" t="inlineStr">
        <is>
          <t>Annonces texte, renvoi vers une page « devis en 24 h »</t>
        </is>
      </c>
      <c r="D7" s="5" t="inlineStr">
        <is>
          <t>« Lancement, salon, soirée : devis sous 24 h. »</t>
        </is>
      </c>
      <c r="E7" s="5" t="inlineStr">
        <is>
          <t>11 janv. → 7 févr.</t>
        </is>
      </c>
      <c r="F7" s="9">
        <f>'Répartition'!C7</f>
        <v/>
      </c>
      <c r="G7" s="5" t="inlineStr">
        <is>
          <t>Demandes de devis via le site</t>
        </is>
      </c>
      <c r="H7" s="5" t="inlineStr">
        <is>
          <t>5</t>
        </is>
      </c>
      <c r="I7" s="5" t="inlineStr">
        <is>
          <t>Responsable digital</t>
        </is>
      </c>
    </row>
    <row r="8" ht="78" customHeight="1">
      <c r="A8" s="6" t="inlineStr">
        <is>
          <t>Presse économique en ligne</t>
        </is>
      </c>
      <c r="B8" s="7" t="inlineStr">
        <is>
          <t>Lecteurs décideurs de la presse économique ivoirienne</t>
        </is>
      </c>
      <c r="C8" s="7" t="inlineStr">
        <is>
          <t>2 articles sponsorisés + 1 insertion en lettre d'information</t>
        </is>
      </c>
      <c r="D8" s="7" t="inlineStr">
        <is>
          <t>Étude de cas d'un événement livré en délai court ; tribune de la direction</t>
        </is>
      </c>
      <c r="E8" s="7" t="inlineStr">
        <is>
          <t>Articles semaines 2 et 3 ; lettre semaine 3</t>
        </is>
      </c>
      <c r="F8" s="11">
        <f>'Répartition'!C8</f>
        <v/>
      </c>
      <c r="G8" s="7" t="inlineStr">
        <is>
          <t>Visites du site depuis les articles</t>
        </is>
      </c>
      <c r="H8" s="7" t="inlineStr">
        <is>
          <t>400 visites</t>
        </is>
      </c>
      <c r="I8" s="7" t="inlineStr">
        <is>
          <t>Cheffe de projet</t>
        </is>
      </c>
    </row>
    <row r="9" ht="78" customHeight="1">
      <c r="A9" s="4" t="inlineStr">
        <is>
          <t>Coffrets « Au 7e jour »</t>
        </is>
      </c>
      <c r="B9" s="5" t="inlineStr">
        <is>
          <t>40 décideurs prioritaires : grands comptes visés, clients à réactiver</t>
        </is>
      </c>
      <c r="C9" s="5" t="inlineStr">
        <is>
          <t>Coffret livré au bureau, carte signée, QR code de prise de rendez-vous</t>
        </is>
      </c>
      <c r="D9" s="5" t="inlineStr">
        <is>
          <t>« Au 7e jour, votre événement est prêt. Parlons du prochain. »</t>
        </is>
      </c>
      <c r="E9" s="5" t="inlineStr">
        <is>
          <t>Livraison semaine 2, relance téléphonique semaine 3</t>
        </is>
      </c>
      <c r="F9" s="9">
        <f>'Répartition'!C9</f>
        <v/>
      </c>
      <c r="G9" s="5" t="inlineStr">
        <is>
          <t>Rendez-vous obtenus</t>
        </is>
      </c>
      <c r="H9" s="5" t="inlineStr">
        <is>
          <t>8</t>
        </is>
      </c>
      <c r="I9" s="5" t="inlineStr">
        <is>
          <t>Cheffe de projet</t>
        </is>
      </c>
    </row>
    <row r="10" ht="78" customHeight="1">
      <c r="A10" s="6" t="inlineStr">
        <is>
          <t>Production des contenus</t>
        </is>
      </c>
      <c r="B10" s="7" t="inlineStr">
        <is>
          <t>Tous les supports ci-dessus</t>
        </is>
      </c>
      <c r="C10" s="7" t="inlineStr">
        <is>
          <t>4 vidéos, 15 visuels, photos d'équipe</t>
        </is>
      </c>
      <c r="D10" s="7" t="inlineStr">
        <is>
          <t>Montrer le travail réel, pas des images de banque</t>
        </is>
      </c>
      <c r="E10" s="7" t="inlineStr">
        <is>
          <t>Avant le 8 janvier</t>
        </is>
      </c>
      <c r="F10" s="11">
        <f>'Répartition'!C10</f>
        <v/>
      </c>
      <c r="G10" s="7" t="inlineStr">
        <is>
          <t>Contenus livrés à temps</t>
        </is>
      </c>
      <c r="H10" s="7" t="inlineStr">
        <is>
          <t>100 % le 8 janvier</t>
        </is>
      </c>
      <c r="I10" s="7" t="inlineStr">
        <is>
          <t>Cheffe de projet</t>
        </is>
      </c>
    </row>
    <row r="11" ht="78" customHeight="1">
      <c r="A11" s="4" t="inlineStr">
        <is>
          <t>Réserve</t>
        </is>
      </c>
      <c r="B11" s="5" t="inlineStr">
        <is>
          <t>Selon les résultats</t>
        </is>
      </c>
      <c r="C11" s="5" t="inlineStr">
        <is>
          <t>Renfort du meilleur canal</t>
        </is>
      </c>
      <c r="D11" s="5" t="inlineStr">
        <is>
          <t>Inchangé</t>
        </is>
      </c>
      <c r="E11" s="5" t="inlineStr">
        <is>
          <t>À partir du 25 janv.</t>
        </is>
      </c>
      <c r="F11" s="9">
        <f>'Répartition'!C11</f>
        <v/>
      </c>
      <c r="G11" s="5" t="inlineStr">
        <is>
          <t>Coût par demande qualifiée</t>
        </is>
      </c>
      <c r="H11" s="5" t="inlineStr">
        <is>
          <t>Le plus bas des canaux</t>
        </is>
      </c>
      <c r="I11" s="5" t="inlineStr">
        <is>
          <t>Direction</t>
        </is>
      </c>
    </row>
    <row r="13">
      <c r="A13" s="8" t="inlineStr">
        <is>
          <t>Les canaux sans achat, qui tournent en parallèle</t>
        </is>
      </c>
    </row>
    <row r="14" ht="32" customHeight="1">
      <c r="A14" s="3" t="inlineStr">
        <is>
          <t>Canal</t>
        </is>
      </c>
      <c r="B14" s="3" t="inlineStr">
        <is>
          <t>Ce qu'on y fait</t>
        </is>
      </c>
      <c r="C14" s="3" t="inlineStr">
        <is>
          <t>Rythme</t>
        </is>
      </c>
      <c r="D14" s="3" t="inlineStr"/>
      <c r="E14" s="3" t="inlineStr"/>
      <c r="F14" s="3" t="inlineStr"/>
      <c r="G14" s="3" t="inlineStr"/>
      <c r="H14" s="3" t="inlineStr"/>
      <c r="I14" s="3" t="inlineStr">
        <is>
          <t>Responsable</t>
        </is>
      </c>
    </row>
    <row r="15" ht="34" customHeight="1">
      <c r="A15" s="4" t="inlineStr">
        <is>
          <t>Page LinkedIn Origin7 et profils des dirigeants</t>
        </is>
      </c>
      <c r="B15" s="5" t="inlineStr">
        <is>
          <t>Publications de la série « Au 7e jour » ; les dirigeants partagent et commentent</t>
        </is>
      </c>
      <c r="C15" s="5" t="inlineStr">
        <is>
          <t>3 par semaine</t>
        </is>
      </c>
      <c r="D15" s="5" t="n"/>
      <c r="E15" s="5" t="n"/>
      <c r="F15" s="5" t="n"/>
      <c r="G15" s="5" t="n"/>
      <c r="H15" s="5" t="n"/>
      <c r="I15" s="5" t="inlineStr">
        <is>
          <t>Direction et chargé·e des réseaux</t>
        </is>
      </c>
    </row>
    <row r="16" ht="34" customHeight="1">
      <c r="A16" s="6" t="inlineStr">
        <is>
          <t>Instagram Origin7</t>
        </is>
      </c>
      <c r="B16" s="7" t="inlineStr">
        <is>
          <t>Coulisses, reels, stories pendant les événements</t>
        </is>
      </c>
      <c r="C16" s="7" t="inlineStr">
        <is>
          <t>3 par semaine</t>
        </is>
      </c>
      <c r="D16" s="7" t="n"/>
      <c r="E16" s="7" t="n"/>
      <c r="F16" s="7" t="n"/>
      <c r="G16" s="7" t="n"/>
      <c r="H16" s="7" t="n"/>
      <c r="I16" s="7" t="inlineStr">
        <is>
          <t>Chargé·e des réseaux sociaux</t>
        </is>
      </c>
    </row>
    <row r="17" ht="34" customHeight="1">
      <c r="A17" s="4" t="inlineStr">
        <is>
          <t>WhatsApp Business</t>
        </is>
      </c>
      <c r="B17" s="5" t="inlineStr">
        <is>
          <t>Réponse aux demandes en moins de 2 heures ouvrées ; catalogue des prestations</t>
        </is>
      </c>
      <c r="C17" s="5" t="inlineStr">
        <is>
          <t>Tous les jours</t>
        </is>
      </c>
      <c r="D17" s="5" t="n"/>
      <c r="E17" s="5" t="n"/>
      <c r="F17" s="5" t="n"/>
      <c r="G17" s="5" t="n"/>
      <c r="H17" s="5" t="n"/>
      <c r="I17" s="5" t="inlineStr">
        <is>
          <t>Chargé·e de clientèle</t>
        </is>
      </c>
    </row>
    <row r="18" ht="34" customHeight="1">
      <c r="A18" s="6" t="inlineStr">
        <is>
          <t>Lettre d'information aux clients et prospects</t>
        </is>
      </c>
      <c r="B18" s="7" t="inlineStr">
        <is>
          <t>Vœux 2027 et dates libres du premier trimestre</t>
        </is>
      </c>
      <c r="C18" s="7" t="inlineStr">
        <is>
          <t>1 envoi le 12 janvier, 1 relance le 2 février</t>
        </is>
      </c>
      <c r="D18" s="7" t="n"/>
      <c r="E18" s="7" t="n"/>
      <c r="F18" s="7" t="n"/>
      <c r="G18" s="7" t="n"/>
      <c r="H18" s="7" t="n"/>
      <c r="I18" s="7" t="inlineStr">
        <is>
          <t>Cheffe de projet</t>
        </is>
      </c>
    </row>
    <row r="19" ht="34" customHeight="1">
      <c r="A19" s="4" t="inlineStr">
        <is>
          <t>Prospection directe</t>
        </is>
      </c>
      <c r="B19" s="5" t="inlineStr">
        <is>
          <t>Appels de suivi des coffrets et des personnes qui ont ouvert la lettre</t>
        </is>
      </c>
      <c r="C19" s="5" t="inlineStr">
        <is>
          <t>10 appels par jour ouvré</t>
        </is>
      </c>
      <c r="D19" s="5" t="n"/>
      <c r="E19" s="5" t="n"/>
      <c r="F19" s="5" t="n"/>
      <c r="G19" s="5" t="n"/>
      <c r="H19" s="5" t="n"/>
      <c r="I19" s="5" t="inlineStr">
        <is>
          <t>Chargé·e de prospection</t>
        </is>
      </c>
    </row>
  </sheetData>
  <mergeCells count="5">
    <mergeCell ref="C19:H19"/>
    <mergeCell ref="C16:H16"/>
    <mergeCell ref="C18:H18"/>
    <mergeCell ref="C17:H17"/>
    <mergeCell ref="C15:H15"/>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H2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4" customWidth="1" min="1" max="1"/>
    <col width="18" customWidth="1" min="2" max="2"/>
    <col width="17" customWidth="1" min="3" max="3"/>
    <col width="17" customWidth="1" min="4" max="4"/>
    <col width="17" customWidth="1" min="5" max="5"/>
    <col width="17" customWidth="1" min="6" max="6"/>
    <col width="15" customWidth="1" min="7" max="7"/>
    <col width="18" customWidth="1" min="8" max="8"/>
  </cols>
  <sheetData>
    <row r="1" ht="58" customHeight="1">
      <c r="C1" s="1" t="inlineStr">
        <is>
          <t>Calendrier et rythme de dépense</t>
        </is>
      </c>
    </row>
    <row r="2">
      <c r="C2" s="2" t="inlineStr">
        <is>
          <t>Montants prévus par semaine. Le total de chaque ligne doit égaler son budget.</t>
        </is>
      </c>
    </row>
    <row r="4" ht="32" customHeight="1">
      <c r="A4" s="3" t="inlineStr">
        <is>
          <t>Poste</t>
        </is>
      </c>
      <c r="B4" s="3" t="inlineStr">
        <is>
          <t>Préparation (avant le 11 janv.)</t>
        </is>
      </c>
      <c r="C4" s="3" t="inlineStr">
        <is>
          <t>S1 · 11 au 17 janv.</t>
        </is>
      </c>
      <c r="D4" s="3" t="inlineStr">
        <is>
          <t>S2 · 18 au 24 janv.</t>
        </is>
      </c>
      <c r="E4" s="3" t="inlineStr">
        <is>
          <t>S3 · 25 au 31 janv.</t>
        </is>
      </c>
      <c r="F4" s="3" t="inlineStr">
        <is>
          <t>S4 · 1er au 7 févr.</t>
        </is>
      </c>
      <c r="G4" s="3" t="inlineStr">
        <is>
          <t>Total</t>
        </is>
      </c>
      <c r="H4" s="3" t="inlineStr">
        <is>
          <t>Contrôle</t>
        </is>
      </c>
    </row>
    <row r="5">
      <c r="A5" s="4" t="inlineStr">
        <is>
          <t>Publicité LinkedIn</t>
        </is>
      </c>
      <c r="B5" s="9" t="n">
        <v>0</v>
      </c>
      <c r="C5" s="9" t="n">
        <v>400000</v>
      </c>
      <c r="D5" s="9" t="n">
        <v>400000</v>
      </c>
      <c r="E5" s="9" t="n">
        <v>400000</v>
      </c>
      <c r="F5" s="9" t="n">
        <v>400000</v>
      </c>
      <c r="G5" s="9">
        <f>SUM(B5:F5)</f>
        <v/>
      </c>
      <c r="H5" s="5">
        <f>IF(G5='Répartition'!C5,"OK","À revoir")</f>
        <v/>
      </c>
    </row>
    <row r="6">
      <c r="A6" s="6" t="inlineStr">
        <is>
          <t>Publicité Facebook et Instagram</t>
        </is>
      </c>
      <c r="B6" s="11" t="n">
        <v>0</v>
      </c>
      <c r="C6" s="11" t="n">
        <v>150000</v>
      </c>
      <c r="D6" s="11" t="n">
        <v>150000</v>
      </c>
      <c r="E6" s="11" t="n">
        <v>150000</v>
      </c>
      <c r="F6" s="11" t="n">
        <v>150000</v>
      </c>
      <c r="G6" s="11">
        <f>SUM(B6:F6)</f>
        <v/>
      </c>
      <c r="H6" s="7">
        <f>IF(G6='Répartition'!C6,"OK","À revoir")</f>
        <v/>
      </c>
    </row>
    <row r="7">
      <c r="A7" s="4" t="inlineStr">
        <is>
          <t>Publicité Google (recherche)</t>
        </is>
      </c>
      <c r="B7" s="9" t="n">
        <v>0</v>
      </c>
      <c r="C7" s="9" t="n">
        <v>125000</v>
      </c>
      <c r="D7" s="9" t="n">
        <v>125000</v>
      </c>
      <c r="E7" s="9" t="n">
        <v>125000</v>
      </c>
      <c r="F7" s="9" t="n">
        <v>125000</v>
      </c>
      <c r="G7" s="9">
        <f>SUM(B7:F7)</f>
        <v/>
      </c>
      <c r="H7" s="5">
        <f>IF(G7='Répartition'!C7,"OK","À revoir")</f>
        <v/>
      </c>
    </row>
    <row r="8">
      <c r="A8" s="6" t="inlineStr">
        <is>
          <t>Presse économique en ligne</t>
        </is>
      </c>
      <c r="B8" s="11" t="n">
        <v>0</v>
      </c>
      <c r="C8" s="11" t="n">
        <v>0</v>
      </c>
      <c r="D8" s="11" t="n">
        <v>350000</v>
      </c>
      <c r="E8" s="11" t="n">
        <v>350000</v>
      </c>
      <c r="F8" s="11" t="n">
        <v>0</v>
      </c>
      <c r="G8" s="11">
        <f>SUM(B8:F8)</f>
        <v/>
      </c>
      <c r="H8" s="7">
        <f>IF(G8='Répartition'!C8,"OK","À revoir")</f>
        <v/>
      </c>
    </row>
    <row r="9">
      <c r="A9" s="4" t="inlineStr">
        <is>
          <t>Coffrets « Au 7e jour » aux décideurs</t>
        </is>
      </c>
      <c r="B9" s="9" t="n">
        <v>200000</v>
      </c>
      <c r="C9" s="9" t="n">
        <v>200000</v>
      </c>
      <c r="D9" s="9" t="n">
        <v>0</v>
      </c>
      <c r="E9" s="9" t="n">
        <v>0</v>
      </c>
      <c r="F9" s="9" t="n">
        <v>0</v>
      </c>
      <c r="G9" s="9">
        <f>SUM(B9:F9)</f>
        <v/>
      </c>
      <c r="H9" s="5">
        <f>IF(G9='Répartition'!C9,"OK","À revoir")</f>
        <v/>
      </c>
    </row>
    <row r="10">
      <c r="A10" s="6" t="inlineStr">
        <is>
          <t>Production des contenus</t>
        </is>
      </c>
      <c r="B10" s="11" t="n">
        <v>600000</v>
      </c>
      <c r="C10" s="11" t="n">
        <v>100000</v>
      </c>
      <c r="D10" s="11" t="n">
        <v>0</v>
      </c>
      <c r="E10" s="11" t="n">
        <v>0</v>
      </c>
      <c r="F10" s="11" t="n">
        <v>0</v>
      </c>
      <c r="G10" s="11">
        <f>SUM(B10:F10)</f>
        <v/>
      </c>
      <c r="H10" s="7">
        <f>IF(G10='Répartition'!C10,"OK","À revoir")</f>
        <v/>
      </c>
    </row>
    <row r="11">
      <c r="A11" s="4" t="inlineStr">
        <is>
          <t>Réserve</t>
        </is>
      </c>
      <c r="B11" s="9" t="n">
        <v>0</v>
      </c>
      <c r="C11" s="9" t="n">
        <v>0</v>
      </c>
      <c r="D11" s="9" t="n">
        <v>0</v>
      </c>
      <c r="E11" s="9" t="n">
        <v>250000</v>
      </c>
      <c r="F11" s="9" t="n">
        <v>250000</v>
      </c>
      <c r="G11" s="9">
        <f>SUM(B11:F11)</f>
        <v/>
      </c>
      <c r="H11" s="5">
        <f>IF(G11='Répartition'!C11,"OK","À revoir")</f>
        <v/>
      </c>
    </row>
    <row r="12">
      <c r="A12" s="15" t="inlineStr">
        <is>
          <t>Total de la semaine</t>
        </is>
      </c>
      <c r="B12" s="16">
        <f>SUM(B5:B11)</f>
        <v/>
      </c>
      <c r="C12" s="16">
        <f>SUM(C5:C11)</f>
        <v/>
      </c>
      <c r="D12" s="16">
        <f>SUM(D5:D11)</f>
        <v/>
      </c>
      <c r="E12" s="16">
        <f>SUM(E5:E11)</f>
        <v/>
      </c>
      <c r="F12" s="16">
        <f>SUM(F5:F11)</f>
        <v/>
      </c>
      <c r="G12" s="16">
        <f>SUM(G5:G11)</f>
        <v/>
      </c>
    </row>
    <row r="13">
      <c r="A13" t="inlineStr">
        <is>
          <t>Cumul engagé</t>
        </is>
      </c>
      <c r="B13" s="19">
        <f>SUM($B$12:B12)</f>
        <v/>
      </c>
      <c r="C13" s="19">
        <f>SUM($B$12:C12)</f>
        <v/>
      </c>
      <c r="D13" s="19">
        <f>SUM($B$12:D12)</f>
        <v/>
      </c>
      <c r="E13" s="19">
        <f>SUM($B$12:E12)</f>
        <v/>
      </c>
      <c r="F13" s="19">
        <f>SUM($B$12:F12)</f>
        <v/>
      </c>
    </row>
    <row r="15">
      <c r="A15" s="8" t="inlineStr">
        <is>
          <t>Les rendez-vous du mois</t>
        </is>
      </c>
    </row>
    <row r="16" ht="32" customHeight="1">
      <c r="A16" s="3" t="inlineStr">
        <is>
          <t>Date</t>
        </is>
      </c>
      <c r="B16" s="3" t="inlineStr">
        <is>
          <t>Ce qui se passe</t>
        </is>
      </c>
      <c r="C16" s="3" t="inlineStr"/>
      <c r="D16" s="3" t="inlineStr"/>
      <c r="E16" s="3" t="inlineStr"/>
      <c r="F16" s="3" t="inlineStr"/>
      <c r="G16" s="3" t="inlineStr"/>
      <c r="H16" s="3" t="inlineStr">
        <is>
          <t>Qui décide</t>
        </is>
      </c>
    </row>
    <row r="17">
      <c r="A17" s="4" t="inlineStr">
        <is>
          <t>Lun. 14 déc. 2026</t>
        </is>
      </c>
      <c r="B17" s="5" t="inlineStr">
        <is>
          <t>Validation du plan, des 40 décideurs et des devis (presse, coffrets, tournage)</t>
        </is>
      </c>
      <c r="C17" s="5" t="n"/>
      <c r="D17" s="5" t="n"/>
      <c r="E17" s="5" t="n"/>
      <c r="F17" s="5" t="n"/>
      <c r="G17" s="5" t="n"/>
      <c r="H17" s="5" t="inlineStr">
        <is>
          <t>Direction</t>
        </is>
      </c>
    </row>
    <row r="18">
      <c r="A18" s="6" t="inlineStr">
        <is>
          <t>Ven. 8 janv. 2027</t>
        </is>
      </c>
      <c r="B18" s="7" t="inlineStr">
        <is>
          <t>Contenus livrés, publicités paramétrées et relues, rien n'est lancé</t>
        </is>
      </c>
      <c r="C18" s="7" t="n"/>
      <c r="D18" s="7" t="n"/>
      <c r="E18" s="7" t="n"/>
      <c r="F18" s="7" t="n"/>
      <c r="G18" s="7" t="n"/>
      <c r="H18" s="7" t="inlineStr">
        <is>
          <t>Cheffe de projet</t>
        </is>
      </c>
    </row>
    <row r="19">
      <c r="A19" s="4" t="inlineStr">
        <is>
          <t>Lun. 11 janv.</t>
        </is>
      </c>
      <c r="B19" s="5" t="inlineStr">
        <is>
          <t>Lancement des publicités LinkedIn, Facebook, Instagram et Google</t>
        </is>
      </c>
      <c r="C19" s="5" t="n"/>
      <c r="D19" s="5" t="n"/>
      <c r="E19" s="5" t="n"/>
      <c r="F19" s="5" t="n"/>
      <c r="G19" s="5" t="n"/>
      <c r="H19" s="5" t="inlineStr">
        <is>
          <t>Direction (feu vert)</t>
        </is>
      </c>
    </row>
    <row r="20">
      <c r="A20" s="6" t="inlineStr">
        <is>
          <t>Mar. 12 janv.</t>
        </is>
      </c>
      <c r="B20" s="7" t="inlineStr">
        <is>
          <t>Lettre d'information aux clients et prospects</t>
        </is>
      </c>
      <c r="C20" s="7" t="n"/>
      <c r="D20" s="7" t="n"/>
      <c r="E20" s="7" t="n"/>
      <c r="F20" s="7" t="n"/>
      <c r="G20" s="7" t="n"/>
      <c r="H20" s="7" t="inlineStr">
        <is>
          <t>Cheffe de projet</t>
        </is>
      </c>
    </row>
    <row r="21">
      <c r="A21" s="4" t="inlineStr">
        <is>
          <t>Semaine du 18 janv.</t>
        </is>
      </c>
      <c r="B21" s="5" t="inlineStr">
        <is>
          <t>Livraison des 40 coffrets ; 1er article sponsorisé</t>
        </is>
      </c>
      <c r="C21" s="5" t="n"/>
      <c r="D21" s="5" t="n"/>
      <c r="E21" s="5" t="n"/>
      <c r="F21" s="5" t="n"/>
      <c r="G21" s="5" t="n"/>
      <c r="H21" s="5" t="inlineStr">
        <is>
          <t>Cheffe de projet</t>
        </is>
      </c>
    </row>
    <row r="22">
      <c r="A22" s="6" t="inlineStr">
        <is>
          <t>Lun. 25 janv.</t>
        </is>
      </c>
      <c r="B22" s="7" t="inlineStr">
        <is>
          <t>Point à mi-parcours : déblocage de la réserve sur le meilleur canal</t>
        </is>
      </c>
      <c r="C22" s="7" t="n"/>
      <c r="D22" s="7" t="n"/>
      <c r="E22" s="7" t="n"/>
      <c r="F22" s="7" t="n"/>
      <c r="G22" s="7" t="n"/>
      <c r="H22" s="7" t="inlineStr">
        <is>
          <t>Direction</t>
        </is>
      </c>
    </row>
    <row r="23">
      <c r="A23" s="4" t="inlineStr">
        <is>
          <t>Semaine du 25 janv.</t>
        </is>
      </c>
      <c r="B23" s="5" t="inlineStr">
        <is>
          <t>2e article sponsorisé et insertion en lettre d'information ; relance téléphonique des coffrets</t>
        </is>
      </c>
      <c r="C23" s="5" t="n"/>
      <c r="D23" s="5" t="n"/>
      <c r="E23" s="5" t="n"/>
      <c r="F23" s="5" t="n"/>
      <c r="G23" s="5" t="n"/>
      <c r="H23" s="5" t="inlineStr">
        <is>
          <t>Cheffe de projet</t>
        </is>
      </c>
    </row>
    <row r="24">
      <c r="A24" s="6" t="inlineStr">
        <is>
          <t>Lun. 8 févr.</t>
        </is>
      </c>
      <c r="B24" s="7" t="inlineStr">
        <is>
          <t>Bilan du mois : coût par demande, rendez-vous, devis envoyés ; suite à donner</t>
        </is>
      </c>
      <c r="C24" s="7" t="n"/>
      <c r="D24" s="7" t="n"/>
      <c r="E24" s="7" t="n"/>
      <c r="F24" s="7" t="n"/>
      <c r="G24" s="7" t="n"/>
      <c r="H24" s="7" t="inlineStr">
        <is>
          <t>Direction</t>
        </is>
      </c>
    </row>
  </sheetData>
  <mergeCells count="8">
    <mergeCell ref="B24:G24"/>
    <mergeCell ref="B19:G19"/>
    <mergeCell ref="B20:G20"/>
    <mergeCell ref="B22:G22"/>
    <mergeCell ref="B17:G17"/>
    <mergeCell ref="B23:G23"/>
    <mergeCell ref="B18:G18"/>
    <mergeCell ref="B21:G21"/>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36" customWidth="1" min="1" max="1"/>
    <col width="15" customWidth="1" min="2" max="2"/>
    <col width="20" customWidth="1" min="3" max="3"/>
    <col width="14" customWidth="1" min="4" max="4"/>
    <col width="12" customWidth="1" min="5" max="5"/>
    <col width="13" customWidth="1" min="6" max="6"/>
    <col width="14" customWidth="1" min="7" max="7"/>
    <col width="14" customWidth="1" min="8" max="8"/>
    <col width="16" customWidth="1" min="9" max="9"/>
  </cols>
  <sheetData>
    <row r="1" ht="58" customHeight="1">
      <c r="C1" s="1" t="inlineStr">
        <is>
          <t>Ce que le budget peut produire</t>
        </is>
      </c>
    </row>
    <row r="2">
      <c r="C2" s="2" t="inlineStr">
        <is>
          <t>Les cases orange sont des hypothèses de départ : remplacez-les par les chiffres réels des régies après la 1re semaine, tout se recalcule.</t>
        </is>
      </c>
    </row>
    <row r="4" ht="32" customHeight="1">
      <c r="A4" s="3" t="inlineStr">
        <is>
          <t>Support</t>
        </is>
      </c>
      <c r="B4" s="3" t="inlineStr">
        <is>
          <t>Budget</t>
        </is>
      </c>
      <c r="C4" s="3" t="inlineStr">
        <is>
          <t>Coût pour 1 000 vues (F)</t>
        </is>
      </c>
      <c r="D4" s="3" t="inlineStr">
        <is>
          <t>Vues estimées</t>
        </is>
      </c>
      <c r="E4" s="3" t="inlineStr">
        <is>
          <t>Taux de clic</t>
        </is>
      </c>
      <c r="F4" s="3" t="inlineStr">
        <is>
          <t>Clics estimés</t>
        </is>
      </c>
      <c r="G4" s="3" t="inlineStr">
        <is>
          <t>Taux de demande</t>
        </is>
      </c>
      <c r="H4" s="3" t="inlineStr">
        <is>
          <t>Demandes estimées</t>
        </is>
      </c>
      <c r="I4" s="3" t="inlineStr">
        <is>
          <t>Coût par demande</t>
        </is>
      </c>
    </row>
    <row r="5">
      <c r="A5" s="4" t="inlineStr">
        <is>
          <t>Publicité LinkedIn</t>
        </is>
      </c>
      <c r="B5" s="9">
        <f>'Répartition'!C5</f>
        <v/>
      </c>
      <c r="C5" s="20" t="n">
        <v>9000</v>
      </c>
      <c r="D5" s="21">
        <f>B5/C5*1000</f>
        <v/>
      </c>
      <c r="E5" s="22" t="n">
        <v>0.006</v>
      </c>
      <c r="F5" s="21">
        <f>D5*E5</f>
        <v/>
      </c>
      <c r="G5" s="22" t="n">
        <v>0.08</v>
      </c>
      <c r="H5" s="23">
        <f>F5*G5</f>
        <v/>
      </c>
      <c r="I5" s="9">
        <f>IFERROR(B5/H5,0)</f>
        <v/>
      </c>
    </row>
    <row r="6">
      <c r="A6" s="4" t="inlineStr">
        <is>
          <t>Publicité Facebook et Instagram</t>
        </is>
      </c>
      <c r="B6" s="9">
        <f>'Répartition'!C6</f>
        <v/>
      </c>
      <c r="C6" s="20" t="n">
        <v>1500</v>
      </c>
      <c r="D6" s="21">
        <f>B6/C6*1000</f>
        <v/>
      </c>
      <c r="E6" s="22" t="n">
        <v>0.008</v>
      </c>
      <c r="F6" s="21">
        <f>D6*E6</f>
        <v/>
      </c>
      <c r="G6" s="22" t="n">
        <v>0.01</v>
      </c>
      <c r="H6" s="23">
        <f>F6*G6</f>
        <v/>
      </c>
      <c r="I6" s="9">
        <f>IFERROR(B6/H6,0)</f>
        <v/>
      </c>
    </row>
    <row r="7">
      <c r="A7" s="4" t="inlineStr">
        <is>
          <t>Publicité Google (recherche)</t>
        </is>
      </c>
      <c r="B7" s="9">
        <f>'Répartition'!C7</f>
        <v/>
      </c>
      <c r="C7" s="20" t="inlineStr">
        <is>
          <t>Coût par clic : 250 F</t>
        </is>
      </c>
      <c r="D7" s="21" t="inlineStr">
        <is>
          <t>—</t>
        </is>
      </c>
      <c r="E7" s="22" t="inlineStr">
        <is>
          <t>—</t>
        </is>
      </c>
      <c r="F7" s="21">
        <f>B7/250</f>
        <v/>
      </c>
      <c r="G7" s="22" t="n">
        <v>0.03</v>
      </c>
      <c r="H7" s="23">
        <f>F7*G7</f>
        <v/>
      </c>
      <c r="I7" s="9">
        <f>IFERROR(B7/H7,0)</f>
        <v/>
      </c>
    </row>
    <row r="8">
      <c r="A8" s="15" t="inlineStr">
        <is>
          <t>Total publicité en ligne</t>
        </is>
      </c>
      <c r="B8" s="16">
        <f>SUM(B5:B7)</f>
        <v/>
      </c>
      <c r="H8" s="24">
        <f>SUM(H5:H7)</f>
        <v/>
      </c>
      <c r="I8" s="16">
        <f>B8/H8</f>
        <v/>
      </c>
    </row>
    <row r="9">
      <c r="A9" s="15" t="inlineStr">
        <is>
          <t>Part des demandes réellement qualifiées (budget, date, décideur)</t>
        </is>
      </c>
      <c r="G9" s="25" t="n">
        <v>0.35</v>
      </c>
      <c r="H9" s="24">
        <f>H8*G9</f>
        <v/>
      </c>
      <c r="I9" s="19">
        <f>B8/H9</f>
        <v/>
      </c>
    </row>
    <row r="11">
      <c r="A11" s="8" t="inlineStr">
        <is>
          <t>Les objectifs du mois, tous canaux confondus</t>
        </is>
      </c>
    </row>
    <row r="12" ht="32" customHeight="1">
      <c r="A12" s="3" t="inlineStr">
        <is>
          <t>Étape</t>
        </is>
      </c>
      <c r="B12" s="3" t="inlineStr">
        <is>
          <t>Objectif</t>
        </is>
      </c>
      <c r="C12" s="3" t="inlineStr">
        <is>
          <t>Comment on compte</t>
        </is>
      </c>
      <c r="D12" s="3" t="inlineStr"/>
      <c r="E12" s="3" t="inlineStr"/>
      <c r="F12" s="3" t="inlineStr"/>
      <c r="G12" s="3" t="inlineStr"/>
      <c r="H12" s="3" t="inlineStr"/>
      <c r="I12" s="3" t="inlineStr"/>
    </row>
    <row r="13">
      <c r="A13" s="4" t="inlineStr">
        <is>
          <t>Demandes de devis qualifiées</t>
        </is>
      </c>
      <c r="B13" s="5" t="inlineStr">
        <is>
          <t>25</t>
        </is>
      </c>
      <c r="C13" s="5" t="inlineStr">
        <is>
          <t>Tableau de suivi des demandes : budget, date et décideur identifiés</t>
        </is>
      </c>
      <c r="D13" s="5" t="n"/>
      <c r="E13" s="5" t="n"/>
      <c r="F13" s="5" t="n"/>
      <c r="G13" s="5" t="n"/>
      <c r="H13" s="5" t="n"/>
      <c r="I13" s="5" t="n"/>
    </row>
    <row r="14">
      <c r="A14" s="6" t="inlineStr">
        <is>
          <t>Rendez-vous tenus</t>
        </is>
      </c>
      <c r="B14" s="7" t="inlineStr">
        <is>
          <t>12</t>
        </is>
      </c>
      <c r="C14" s="7" t="inlineStr">
        <is>
          <t>Agenda de la cheffe de projet et de la direction</t>
        </is>
      </c>
      <c r="D14" s="7" t="n"/>
      <c r="E14" s="7" t="n"/>
      <c r="F14" s="7" t="n"/>
      <c r="G14" s="7" t="n"/>
      <c r="H14" s="7" t="n"/>
      <c r="I14" s="7" t="n"/>
    </row>
    <row r="15">
      <c r="A15" s="4" t="inlineStr">
        <is>
          <t>Devis envoyés</t>
        </is>
      </c>
      <c r="B15" s="5" t="inlineStr">
        <is>
          <t>10</t>
        </is>
      </c>
      <c r="C15" s="5" t="inlineStr">
        <is>
          <t>Logiciel de devis</t>
        </is>
      </c>
      <c r="D15" s="5" t="n"/>
      <c r="E15" s="5" t="n"/>
      <c r="F15" s="5" t="n"/>
      <c r="G15" s="5" t="n"/>
      <c r="H15" s="5" t="n"/>
      <c r="I15" s="5" t="n"/>
    </row>
    <row r="16">
      <c r="A16" s="6" t="inlineStr">
        <is>
          <t>Contrats signés sous 60 jours</t>
        </is>
      </c>
      <c r="B16" s="7" t="inlineStr">
        <is>
          <t>4</t>
        </is>
      </c>
      <c r="C16" s="7" t="inlineStr">
        <is>
          <t>Bons de commande reçus avant le 8 avril 2027</t>
        </is>
      </c>
      <c r="D16" s="7" t="n"/>
      <c r="E16" s="7" t="n"/>
      <c r="F16" s="7" t="n"/>
      <c r="G16" s="7" t="n"/>
      <c r="H16" s="7" t="n"/>
      <c r="I16" s="7" t="n"/>
    </row>
    <row r="17">
      <c r="A17" s="4" t="inlineStr">
        <is>
          <t>Plafond de coût</t>
        </is>
      </c>
      <c r="B17" s="5" t="inlineStr">
        <is>
          <t>200 000 F par demande qualifiée en moyenne</t>
        </is>
      </c>
      <c r="C17" s="5" t="inlineStr">
        <is>
          <t>Budget total dépensé ÷ demandes qualifiées</t>
        </is>
      </c>
      <c r="D17" s="5" t="n"/>
      <c r="E17" s="5" t="n"/>
      <c r="F17" s="5" t="n"/>
      <c r="G17" s="5" t="n"/>
      <c r="H17" s="5" t="n"/>
      <c r="I17" s="5" t="n"/>
    </row>
    <row r="19" ht="46" customHeight="1">
      <c r="A19" s="18" t="inlineStr">
        <is>
          <t>Lecture : le mois ne se juge pas aux vues ni aux mentions « j'aime », mais aux demandes qualifiées et aux rendez-vous. Un seul contrat de soirée d'entreprise moyen peut couvrir une bonne part du budget : le tableau de suivi des demandes doit donc noter, pour chaque contrat, d'où venait le client.</t>
        </is>
      </c>
    </row>
  </sheetData>
  <mergeCells count="6">
    <mergeCell ref="C14:I14"/>
    <mergeCell ref="C13:I13"/>
    <mergeCell ref="A19:I19"/>
    <mergeCell ref="C17:I17"/>
    <mergeCell ref="C16:I16"/>
    <mergeCell ref="C15:I15"/>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46" customWidth="1" min="1" max="1"/>
    <col width="34" customWidth="1" min="2" max="2"/>
    <col width="34" customWidth="1" min="3" max="3"/>
    <col width="40" customWidth="1" min="4" max="4"/>
  </cols>
  <sheetData>
    <row r="1" ht="58" customHeight="1">
      <c r="C1" s="1" t="inlineStr">
        <is>
          <t>Pilotage, risques et décisions à prendre</t>
        </is>
      </c>
    </row>
    <row r="2">
      <c r="C2" s="2" t="inlineStr">
        <is>
          <t>Point de suivi chaque lundi à 9 h, du 18 janvier au 8 février.</t>
        </is>
      </c>
    </row>
    <row r="4" ht="32" customHeight="1">
      <c r="A4" s="3" t="inlineStr">
        <is>
          <t>Indicateur suivi chaque lundi</t>
        </is>
      </c>
      <c r="B4" s="3" t="inlineStr">
        <is>
          <t>Source</t>
        </is>
      </c>
      <c r="C4" s="3" t="inlineStr">
        <is>
          <t>Seuil d'alerte</t>
        </is>
      </c>
      <c r="D4" s="3" t="inlineStr">
        <is>
          <t>Action</t>
        </is>
      </c>
    </row>
    <row r="5">
      <c r="A5" s="4" t="inlineStr">
        <is>
          <t>Coût par demande qualifiée, par canal</t>
        </is>
      </c>
      <c r="B5" s="5" t="inlineStr">
        <is>
          <t>Régies publicitaires + tableau des demandes</t>
        </is>
      </c>
      <c r="C5" s="5" t="inlineStr">
        <is>
          <t>Plus de 150 000 F sur 7 jours</t>
        </is>
      </c>
      <c r="D5" s="5" t="inlineStr">
        <is>
          <t>Couper l'annonce, garder la meilleure version</t>
        </is>
      </c>
    </row>
    <row r="6">
      <c r="A6" s="6" t="inlineStr">
        <is>
          <t>Délai de réponse aux demandes</t>
        </is>
      </c>
      <c r="B6" s="7" t="inlineStr">
        <is>
          <t>WhatsApp Business et boîte de réception</t>
        </is>
      </c>
      <c r="C6" s="7" t="inlineStr">
        <is>
          <t>Plus de 2 heures ouvrées</t>
        </is>
      </c>
      <c r="D6" s="7" t="inlineStr">
        <is>
          <t>Renfort de la permanence commerciale</t>
        </is>
      </c>
    </row>
    <row r="7">
      <c r="A7" s="4" t="inlineStr">
        <is>
          <t>Rythme de dépense</t>
        </is>
      </c>
      <c r="B7" s="5" t="inlineStr">
        <is>
          <t>Onglet Calendrier, ligne « Cumul engagé »</t>
        </is>
      </c>
      <c r="C7" s="5" t="inlineStr">
        <is>
          <t>Plus de 10 % d'écart avec le prévu</t>
        </is>
      </c>
      <c r="D7" s="5" t="inlineStr">
        <is>
          <t>Réajuster les plafonds quotidiens</t>
        </is>
      </c>
    </row>
    <row r="8">
      <c r="A8" s="6" t="inlineStr">
        <is>
          <t>Rendez-vous obtenus par les coffrets</t>
        </is>
      </c>
      <c r="B8" s="7" t="inlineStr">
        <is>
          <t>Agenda</t>
        </is>
      </c>
      <c r="C8" s="7" t="inlineStr">
        <is>
          <t>Moins de 3 à la fin de la semaine 3</t>
        </is>
      </c>
      <c r="D8" s="7" t="inlineStr">
        <is>
          <t>Relance téléphonique ciblée par la direction</t>
        </is>
      </c>
    </row>
    <row r="9">
      <c r="A9" s="4" t="inlineStr">
        <is>
          <t>Visites du site depuis la presse</t>
        </is>
      </c>
      <c r="B9" s="5" t="inlineStr">
        <is>
          <t>Statistiques du site (lien suivi)</t>
        </is>
      </c>
      <c r="C9" s="5" t="inlineStr">
        <is>
          <t>Moins de 100 par article</t>
        </is>
      </c>
      <c r="D9" s="5" t="inlineStr">
        <is>
          <t>Pas de 3e article ; budget basculé en réserve</t>
        </is>
      </c>
    </row>
    <row r="11">
      <c r="A11" s="8" t="inlineStr">
        <is>
          <t>Les risques</t>
        </is>
      </c>
    </row>
    <row r="12" ht="32" customHeight="1">
      <c r="A12" s="3" t="inlineStr">
        <is>
          <t>Risque</t>
        </is>
      </c>
      <c r="B12" s="3" t="inlineStr">
        <is>
          <t>Probabilité</t>
        </is>
      </c>
      <c r="C12" s="3" t="inlineStr">
        <is>
          <t>Ce qu'on prévoit</t>
        </is>
      </c>
      <c r="D12" s="3" t="inlineStr"/>
    </row>
    <row r="13" ht="34" customHeight="1">
      <c r="A13" s="4" t="inlineStr">
        <is>
          <t>Publicité LinkedIn plus chère que prévu</t>
        </is>
      </c>
      <c r="B13" s="5" t="inlineStr">
        <is>
          <t>Moyenne</t>
        </is>
      </c>
      <c r="C13" s="5" t="inlineStr">
        <is>
          <t>Recalage après 7 jours ; bascule vers Google et la prospection directe si le coût dépasse le plafond</t>
        </is>
      </c>
      <c r="D13" s="5" t="n"/>
    </row>
    <row r="14" ht="34" customHeight="1">
      <c r="A14" s="6" t="inlineStr">
        <is>
          <t>Contenus pas prêts le 11 janvier (équipe prise par les événements de fin d'année)</t>
        </is>
      </c>
      <c r="B14" s="7" t="inlineStr">
        <is>
          <t>Élevée</t>
        </is>
      </c>
      <c r="C14" s="7" t="inlineStr">
        <is>
          <t>Tournage fixé en décembre sur des événements déjà prévus ; date limite de livraison au 8 janvier</t>
        </is>
      </c>
      <c r="D14" s="7" t="n"/>
    </row>
    <row r="15" ht="34" customHeight="1">
      <c r="A15" s="4" t="inlineStr">
        <is>
          <t>Clients filmés qui refusent la diffusion</t>
        </is>
      </c>
      <c r="B15" s="5" t="inlineStr">
        <is>
          <t>Moyenne</t>
        </is>
      </c>
      <c r="C15" s="5" t="inlineStr">
        <is>
          <t>Accord écrit avant tournage ; coulisses sans visage ni logo client en remplacement</t>
        </is>
      </c>
      <c r="D15" s="5" t="n"/>
    </row>
    <row r="16" ht="34" customHeight="1">
      <c r="A16" s="6" t="inlineStr">
        <is>
          <t>Afflux de petites demandes urgentes non rentables</t>
        </is>
      </c>
      <c r="B16" s="7" t="inlineStr">
        <is>
          <t>Moyenne</t>
        </is>
      </c>
      <c r="C16" s="7" t="inlineStr">
        <is>
          <t>Budget minimum affiché dans le formulaire ; frais d'urgence mentionnés dans les devis</t>
        </is>
      </c>
      <c r="D16" s="7" t="n"/>
    </row>
    <row r="17" ht="34" customHeight="1">
      <c r="A17" s="4" t="inlineStr">
        <is>
          <t>Coffrets livrés à la mauvaise personne</t>
        </is>
      </c>
      <c r="B17" s="5" t="inlineStr">
        <is>
          <t>Faible</t>
        </is>
      </c>
      <c r="C17" s="5" t="inlineStr">
        <is>
          <t>Liste vérifiée par appel avant livraison ; livraison en main propre par coursier</t>
        </is>
      </c>
      <c r="D17" s="5" t="n"/>
    </row>
    <row r="19">
      <c r="A19" s="8" t="inlineStr">
        <is>
          <t>Les décisions à prendre avant le 14 décembre 2026</t>
        </is>
      </c>
    </row>
    <row r="20">
      <c r="A20" s="26" t="inlineStr">
        <is>
          <t>1. Valider le mois de diffusion (11 janvier au 7 février 2027) et la répartition des 5 000 000 F.</t>
        </is>
      </c>
    </row>
    <row r="21">
      <c r="A21" s="26" t="inlineStr">
        <is>
          <t>2. Dire si ce budget s'ajoute au plan du premier trimestre ou le remplace.</t>
        </is>
      </c>
    </row>
    <row r="22">
      <c r="A22" s="26" t="inlineStr">
        <is>
          <t>3. Valider la liste des 40 décideurs qui reçoivent un coffret.</t>
        </is>
      </c>
    </row>
    <row r="23">
      <c r="A23" s="26" t="inlineStr">
        <is>
          <t>4. Choisir les 4 événements filmés et obtenir l'accord écrit des clients.</t>
        </is>
      </c>
    </row>
    <row r="24">
      <c r="A24" s="26" t="inlineStr">
        <is>
          <t>5. Valider le budget minimum d'un événement affiché dans le formulaire de devis.</t>
        </is>
      </c>
    </row>
    <row r="25">
      <c r="A25" s="26" t="inlineStr">
        <is>
          <t>6. Autoriser les demandes de devis (presse, coffrets, tournage). Aucun achat n'est engagé sans votre accord écrit.</t>
        </is>
      </c>
    </row>
  </sheetData>
  <mergeCells count="11">
    <mergeCell ref="A23:D23"/>
    <mergeCell ref="C16:D16"/>
    <mergeCell ref="A22:D22"/>
    <mergeCell ref="C15:D15"/>
    <mergeCell ref="A20:D20"/>
    <mergeCell ref="A21:D21"/>
    <mergeCell ref="C14:D14"/>
    <mergeCell ref="A25:D25"/>
    <mergeCell ref="C13:D13"/>
    <mergeCell ref="A24:D24"/>
    <mergeCell ref="C17:D1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2026-10-20T12:53:59Z</dcterms:created>
  <dcterms:modified xmlns:dcterms="http://purl.org/dc/terms/" xmlns:xsi="http://www.w3.org/2001/XMLSchema-instance" xsi:type="dcterms:W3CDTF">2026-10-20T12:53:59Z</dcterms:modified>
</cp:coreProperties>
</file>