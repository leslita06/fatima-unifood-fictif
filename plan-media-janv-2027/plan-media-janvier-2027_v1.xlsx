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Répartition" sheetId="2" state="visible" r:id="rId2"/>
    <sheet xmlns:r="http://schemas.openxmlformats.org/officeDocument/2006/relationships" name="Calendrier" sheetId="3" state="visible" r:id="rId3"/>
    <sheet xmlns:r="http://schemas.openxmlformats.org/officeDocument/2006/relationships" name="Indicateurs" sheetId="4" state="visible" r:id="rId4"/>
    <sheet xmlns:r="http://schemas.openxmlformats.org/officeDocument/2006/relationships" name="À confirm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&quot;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E50046"/>
      <sz val="14"/>
    </font>
    <font>
      <b val="1"/>
      <color rgb="002B1B22"/>
    </font>
    <font>
      <b val="1"/>
      <color rgb="00E50046"/>
      <sz val="12"/>
    </font>
    <font>
      <b val="1"/>
    </font>
    <font>
      <i val="1"/>
      <color rgb="006B5560"/>
    </font>
    <font>
      <i val="1"/>
    </font>
  </fonts>
  <fills count="5">
    <fill>
      <patternFill/>
    </fill>
    <fill>
      <patternFill patternType="gray125"/>
    </fill>
    <fill>
      <patternFill patternType="solid">
        <fgColor rgb="00E50046"/>
      </patternFill>
    </fill>
    <fill>
      <patternFill patternType="solid">
        <fgColor rgb="002B1B22"/>
      </patternFill>
    </fill>
    <fill>
      <patternFill patternType="solid">
        <fgColor rgb="00FFF0C2"/>
      </patternFill>
    </fill>
  </fills>
  <borders count="2">
    <border>
      <left/>
      <right/>
      <top/>
      <bottom/>
      <diagonal/>
    </border>
    <border>
      <bottom style="thin">
        <color rgb="00EADFE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5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9" fontId="0" fillId="0" borderId="0" pivotButton="0" quotePrefix="0" xfId="0"/>
    <xf numFmtId="164" fontId="5" fillId="0" borderId="0" pivotButton="0" quotePrefix="0" xfId="0"/>
    <xf numFmtId="0" fontId="7" fillId="0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9532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69532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69532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69532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69532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  <col width="16" customWidth="1" min="3" max="3"/>
  </cols>
  <sheetData>
    <row r="1">
      <c r="A1" s="1" t="inlineStr">
        <is>
          <t>FICTIF : document de test. Unifood est une entreprise réelle ; budget, personnes et résultats inventés. Rien n'est engagé, acheté ni publié.</t>
        </is>
      </c>
    </row>
    <row r="2" ht="62" customHeight="1">
      <c r="B2" s="2" t="inlineStr">
        <is>
          <t>Plan média Unifood, janvier 2027 : Sossa, Super Mint, gaufrette Coupe du Monde. Budget 5 000 000 F (FICTIF). Version 1 du 19/10/2026, à valider par Mariam Koné (FICTIF).</t>
        </is>
      </c>
    </row>
    <row r="4">
      <c r="A4" s="3" t="inlineStr">
        <is>
          <t>Sujet</t>
        </is>
      </c>
      <c r="B4" s="3" t="inlineStr">
        <is>
          <t>En bref</t>
        </is>
      </c>
    </row>
    <row r="5">
      <c r="A5" s="4" t="inlineStr">
        <is>
          <t>Période proposée</t>
        </is>
      </c>
      <c r="B5" s="5" t="inlineStr">
        <is>
          <t>Du lundi 4 au dimanche 31 janvier 2027 (4 semaines). Novembre et décembre sont déjà pris par la campagne Rio Pop Fêtes 2026 ; janvier relance les ventes après les fêtes. ⟦mois à confirmer⟧</t>
        </is>
      </c>
    </row>
    <row r="6">
      <c r="A6" s="4" t="inlineStr">
        <is>
          <t>Le parti pris</t>
        </is>
      </c>
      <c r="B6" s="5" t="inlineStr">
        <is>
          <t>Votre vente se fait au rayon et au comptoir. Je mets donc 60 % du budget au point de vente (PLV, dégustations, mise en avant chez les boutiquiers et en grande surface) et 26 % en publicité en ligne, ciblée et mesurable. Pas de radio ce mois-ci : avec 5 000 000 F pour trois marques, on n'achète pas assez de passages pour être entendu, et les tarifs régie ne sont pas connus.</t>
        </is>
      </c>
    </row>
    <row r="7">
      <c r="A7" s="4" t="inlineStr">
        <is>
          <t>Les trois marques</t>
        </is>
      </c>
      <c r="B7" s="5" t="inlineStr">
        <is>
          <t>Sossa (mayonnaise, pochon 25 ml) : maquis, garbadromes, vendeuses de sandwichs. Super Mint : adultes, transport et bureau. Gaufrette Coupe du Monde : goûter, achat par les mamans en grande surface et en boutique.</t>
        </is>
      </c>
    </row>
    <row r="8">
      <c r="A8" s="4" t="inlineStr">
        <is>
          <t>À vérifier avant tout</t>
        </is>
      </c>
      <c r="B8" s="5" t="inlineStr">
        <is>
          <t>1) « Super Mi » : j'ai compris Super Mint, la menthe TOMY ; je ne trouve pas de produit « Super Mi » sur unifood.info. 2) Sossa est une mayonnaise, pas une confiserie : elle a son propre circuit (maquis, restauration de rue), traité à part. 3) La gaufrette Coupe du Monde est présentée comme « historique » sur le site : est-elle toujours produite et livrée ?</t>
        </is>
      </c>
    </row>
    <row r="9">
      <c r="A9" s="4" t="inlineStr">
        <is>
          <t>Comment on saura si ça marche</t>
        </is>
      </c>
      <c r="B9" s="5" t="inlineStr">
        <is>
          <t>Un indicateur par marque, suivi chaque lundi : sell-in (cartons vendus aux grossistes et à la grande distribution) de janvier 2027 contre janvier 2026. Base de comparaison ⟦à fournir par Hervé Gnagne, FICTIF⟧. Sans cette base, le plan dépense sans pouvoir prouver.</t>
        </is>
      </c>
    </row>
    <row r="10">
      <c r="A10" s="4" t="inlineStr">
        <is>
          <t>Ce qui ne part pas sans accord</t>
        </is>
      </c>
      <c r="B10" s="5" t="inlineStr">
        <is>
          <t>Chaque achat (publicité, impression, prestataire d'animation, mise en avant en magasin) attend votre accord écrit ; les tarifs sont à obtenir sur devis, aucun n'est inventé ici.</t>
        </is>
      </c>
    </row>
    <row r="12">
      <c r="A12" s="6" t="inlineStr">
        <is>
          <t>Répartition par poste</t>
        </is>
      </c>
    </row>
    <row r="13">
      <c r="A13" s="3" t="inlineStr">
        <is>
          <t>Poste</t>
        </is>
      </c>
      <c r="B13" s="3" t="inlineStr">
        <is>
          <t>Montant</t>
        </is>
      </c>
      <c r="C13" s="3" t="inlineStr">
        <is>
          <t>Part</t>
        </is>
      </c>
    </row>
    <row r="14">
      <c r="A14" s="5" t="inlineStr">
        <is>
          <t>Point de vente (PLV, dégustations, mise en avant)</t>
        </is>
      </c>
      <c r="B14" s="7">
        <f>'Répartition'!F12</f>
        <v/>
      </c>
      <c r="C14" s="8">
        <f>B14/5000000</f>
        <v/>
      </c>
    </row>
    <row r="15">
      <c r="A15" s="5" t="inlineStr">
        <is>
          <t>Publicité en ligne (Meta, TikTok)</t>
        </is>
      </c>
      <c r="B15" s="7">
        <f>'Répartition'!F13</f>
        <v/>
      </c>
      <c r="C15" s="8">
        <f>B15/5000000</f>
        <v/>
      </c>
    </row>
    <row r="16">
      <c r="A16" s="5" t="inlineStr">
        <is>
          <t>Production des contenus</t>
        </is>
      </c>
      <c r="B16" s="7">
        <f>'Répartition'!F14</f>
        <v/>
      </c>
      <c r="C16" s="8">
        <f>B16/5000000</f>
        <v/>
      </c>
    </row>
    <row r="17">
      <c r="A17" s="5" t="inlineStr">
        <is>
          <t>Réserve</t>
        </is>
      </c>
      <c r="B17" s="7">
        <f>'Répartition'!F15</f>
        <v/>
      </c>
      <c r="C17" s="8">
        <f>B17/5000000</f>
        <v/>
      </c>
    </row>
    <row r="18">
      <c r="A18" s="9" t="inlineStr">
        <is>
          <t>Total</t>
        </is>
      </c>
      <c r="B18" s="10">
        <f>SUM(B14:B17)</f>
        <v/>
      </c>
      <c r="C18">
        <f>IF(B18=5000000,"OK, 5 000 000 F","ÉCART AU BUDGET")</f>
        <v/>
      </c>
    </row>
    <row r="20">
      <c r="A20" s="6" t="inlineStr">
        <is>
          <t>Suite proposée</t>
        </is>
      </c>
    </row>
    <row r="21" ht="34" customHeight="1">
      <c r="A21" s="11" t="inlineStr">
        <is>
          <t>A. Vous validez la répartition, et je prépare les demandes de devis (impression PLV, animation, mise en avant en grande surface) et le paramétrage des publicités, sans rien engager.</t>
        </is>
      </c>
    </row>
    <row r="22" ht="34" customHeight="1">
      <c r="A22" s="11" t="inlineStr">
        <is>
          <t>B. Vous m'envoyez les ventes de janvier 2026 par marque et me confirmez les trois points à vérifier, et je réajuste la répartition entre marques.</t>
        </is>
      </c>
    </row>
  </sheetData>
  <mergeCells count="4">
    <mergeCell ref="A1:C1"/>
    <mergeCell ref="B2:C2"/>
    <mergeCell ref="A21:C21"/>
    <mergeCell ref="A22:C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5" customWidth="1" min="4" max="4"/>
    <col width="12" customWidth="1" min="5" max="5"/>
    <col width="14" customWidth="1" min="6" max="6"/>
    <col width="8" customWidth="1" min="7" max="7"/>
    <col width="60" customWidth="1" min="8" max="8"/>
    <col width="40" customWidth="1" min="9" max="9"/>
  </cols>
  <sheetData>
    <row r="1">
      <c r="A1" s="1" t="inlineStr">
        <is>
          <t>FICTIF : document de test. Unifood est une entreprise réelle ; budget, personnes et résultats inventés. Rien n'est engagé, acheté ni publié.</t>
        </is>
      </c>
    </row>
    <row r="2" ht="62" customHeight="1">
      <c r="B2" s="2" t="inlineStr">
        <is>
          <t>Répartition du budget par poste et par marque (FCFA TTC, FICTIF)</t>
        </is>
      </c>
    </row>
    <row r="4">
      <c r="A4" s="3" t="inlineStr">
        <is>
          <t>Poste</t>
        </is>
      </c>
      <c r="B4" s="3" t="inlineStr">
        <is>
          <t>Sossa</t>
        </is>
      </c>
      <c r="C4" s="3" t="inlineStr">
        <is>
          <t>Super Mint</t>
        </is>
      </c>
      <c r="D4" s="3" t="inlineStr">
        <is>
          <t>Coupe du Monde</t>
        </is>
      </c>
      <c r="E4" s="3" t="inlineStr">
        <is>
          <t>Commun</t>
        </is>
      </c>
      <c r="F4" s="3" t="inlineStr">
        <is>
          <t>Total</t>
        </is>
      </c>
      <c r="G4" s="3" t="inlineStr">
        <is>
          <t>Part</t>
        </is>
      </c>
      <c r="H4" s="3" t="inlineStr">
        <is>
          <t>Ce que ça achète</t>
        </is>
      </c>
      <c r="I4" s="3" t="inlineStr">
        <is>
          <t>Prestataire et source du montant</t>
        </is>
      </c>
    </row>
    <row r="5">
      <c r="A5" s="4" t="inlineStr">
        <is>
          <t>PLV point de vente</t>
        </is>
      </c>
      <c r="B5" s="7" t="n">
        <v>400000</v>
      </c>
      <c r="C5" s="7" t="n">
        <v>400000</v>
      </c>
      <c r="D5" s="7" t="n">
        <v>400000</v>
      </c>
      <c r="E5" s="7" t="n">
        <v>0</v>
      </c>
      <c r="F5" s="7">
        <f>SUM(B5:E5)</f>
        <v/>
      </c>
      <c r="G5" s="8">
        <f>F5/$F$16</f>
        <v/>
      </c>
      <c r="H5" s="5" t="inlineStr">
        <is>
          <t>Stickers comptoir, présentoirs boutiquiers, stop-rayons et affichettes en grande surface</t>
        </is>
      </c>
      <c r="I5" s="5" t="inlineStr">
        <is>
          <t>Imprimeur ⟦devis à demander⟧ ; pose par l'équipe commerciale</t>
        </is>
      </c>
    </row>
    <row r="6">
      <c r="A6" s="4" t="inlineStr">
        <is>
          <t>Dégustations et animations terrain</t>
        </is>
      </c>
      <c r="B6" s="7" t="n">
        <v>600000</v>
      </c>
      <c r="C6" s="7" t="n">
        <v>400000</v>
      </c>
      <c r="D6" s="7" t="n">
        <v>300000</v>
      </c>
      <c r="E6" s="7" t="n">
        <v>0</v>
      </c>
      <c r="F6" s="7">
        <f>SUM(B6:E6)</f>
        <v/>
      </c>
      <c r="G6" s="8">
        <f>F6/$F$16</f>
        <v/>
      </c>
      <c r="H6" s="5" t="inlineStr">
        <is>
          <t>Sossa : maquis et garbadromes (Yopougon, Abobo, Koumassi). Super Mint : gares routières (Adjamé). Coupe du Monde : dégustations en grande surface le samedi, auprès des parents</t>
        </is>
      </c>
      <c r="I6" s="5" t="inlineStr">
        <is>
          <t>Prestataire animation ⟦devis⟧, avec Djénéba (Yelema)</t>
        </is>
      </c>
    </row>
    <row r="7">
      <c r="A7" s="4" t="inlineStr">
        <is>
          <t>Mise en avant chez les boutiquiers et en grande surface</t>
        </is>
      </c>
      <c r="B7" s="7" t="n">
        <v>250000</v>
      </c>
      <c r="C7" s="7" t="n">
        <v>150000</v>
      </c>
      <c r="D7" s="7" t="n">
        <v>100000</v>
      </c>
      <c r="E7" s="7" t="n">
        <v>0</v>
      </c>
      <c r="F7" s="7">
        <f>SUM(B7:E7)</f>
        <v/>
      </c>
      <c r="G7" s="8">
        <f>F7/$F$16</f>
        <v/>
      </c>
      <c r="H7" s="5" t="inlineStr">
        <is>
          <t>Prime de présentation boutiquier (produit visible au comptoir, contrôlé en photo) ; tête de gondole ou bout d'allée ⟦conditions des enseignes à négocier⟧</t>
        </is>
      </c>
      <c r="I7" s="5" t="inlineStr">
        <is>
          <t>Équipe d'Hervé Gnagne (FICTIF)</t>
        </is>
      </c>
    </row>
    <row r="8">
      <c r="A8" s="4" t="inlineStr">
        <is>
          <t>Publicité Facebook et Instagram</t>
        </is>
      </c>
      <c r="B8" s="7" t="n">
        <v>300000</v>
      </c>
      <c r="C8" s="7" t="n">
        <v>300000</v>
      </c>
      <c r="D8" s="7" t="n">
        <v>300000</v>
      </c>
      <c r="E8" s="7" t="n">
        <v>0</v>
      </c>
      <c r="F8" s="7">
        <f>SUM(B8:E8)</f>
        <v/>
      </c>
      <c r="G8" s="8">
        <f>F8/$F$16</f>
        <v/>
      </c>
      <c r="H8" s="5" t="inlineStr">
        <is>
          <t>Campagnes 18 ans et plus, Abidjan ; objectif messages WhatsApp (boutiquiers) et notoriété locale</t>
        </is>
      </c>
      <c r="I8" s="5" t="inlineStr">
        <is>
          <t>Meta, libre-service ; plafond fixé par campagne</t>
        </is>
      </c>
    </row>
    <row r="9">
      <c r="A9" s="4" t="inlineStr">
        <is>
          <t>Publicité TikTok</t>
        </is>
      </c>
      <c r="B9" s="7" t="n">
        <v>0</v>
      </c>
      <c r="C9" s="7" t="n">
        <v>400000</v>
      </c>
      <c r="D9" s="7" t="n">
        <v>0</v>
      </c>
      <c r="E9" s="7" t="n">
        <v>0</v>
      </c>
      <c r="F9" s="7">
        <f>SUM(B9:E9)</f>
        <v/>
      </c>
      <c r="G9" s="8">
        <f>F9/$F$16</f>
        <v/>
      </c>
      <c r="H9" s="5" t="inlineStr">
        <is>
          <t>Mise en avant des sketchs Super Mint, 18 ans et plus</t>
        </is>
      </c>
      <c r="I9" s="5" t="inlineStr">
        <is>
          <t>TikTok Ads, libre-service</t>
        </is>
      </c>
    </row>
    <row r="10">
      <c r="A10" s="4" t="inlineStr">
        <is>
          <t>Production des contenus</t>
        </is>
      </c>
      <c r="B10" s="7" t="n">
        <v>150000</v>
      </c>
      <c r="C10" s="7" t="n">
        <v>150000</v>
      </c>
      <c r="D10" s="7" t="n">
        <v>150000</v>
      </c>
      <c r="E10" s="7" t="n">
        <v>0</v>
      </c>
      <c r="F10" s="7">
        <f>SUM(B10:E10)</f>
        <v/>
      </c>
      <c r="G10" s="8">
        <f>F10/$F$16</f>
        <v/>
      </c>
      <c r="H10" s="5" t="inlineStr">
        <is>
          <t>Photos produit, 2 vidéos courtes par marque, visuels PLV</t>
        </is>
      </c>
      <c r="I10" s="5" t="inlineStr">
        <is>
          <t>Koffi (Yelema) ; tournage léger ⟦devis⟧</t>
        </is>
      </c>
    </row>
    <row r="11">
      <c r="A11" s="4" t="inlineStr">
        <is>
          <t>Réserve</t>
        </is>
      </c>
      <c r="B11" s="7" t="n">
        <v>0</v>
      </c>
      <c r="C11" s="7" t="n">
        <v>0</v>
      </c>
      <c r="D11" s="7" t="n">
        <v>0</v>
      </c>
      <c r="E11" s="7" t="n">
        <v>250000</v>
      </c>
      <c r="F11" s="7">
        <f>SUM(B11:E11)</f>
        <v/>
      </c>
      <c r="G11" s="8">
        <f>F11/$F$16</f>
        <v/>
      </c>
      <c r="H11" s="5" t="inlineStr">
        <is>
          <t>Débloquée au point du 18 janvier, sur la marque qui répond le mieux</t>
        </is>
      </c>
      <c r="I11" s="5" t="inlineStr">
        <is>
          <t>Décision Mariam Koné (FICTIF)</t>
        </is>
      </c>
    </row>
    <row r="12">
      <c r="A12" s="12" t="inlineStr">
        <is>
          <t>dont point de vente</t>
        </is>
      </c>
      <c r="F12" s="10">
        <f>F5+F6+F7</f>
        <v/>
      </c>
      <c r="G12" s="13">
        <f>F12/$F$16</f>
        <v/>
      </c>
    </row>
    <row r="13">
      <c r="A13" s="12" t="inlineStr">
        <is>
          <t>dont publicité en ligne</t>
        </is>
      </c>
      <c r="F13" s="10">
        <f>F8+F9</f>
        <v/>
      </c>
      <c r="G13" s="13">
        <f>F13/$F$16</f>
        <v/>
      </c>
    </row>
    <row r="14">
      <c r="A14" s="12" t="inlineStr">
        <is>
          <t>dont production</t>
        </is>
      </c>
      <c r="F14" s="10">
        <f>F10</f>
        <v/>
      </c>
      <c r="G14" s="13">
        <f>F14/$F$16</f>
        <v/>
      </c>
    </row>
    <row r="15">
      <c r="A15" s="12" t="inlineStr">
        <is>
          <t>dont réserve</t>
        </is>
      </c>
      <c r="F15" s="10">
        <f>F11</f>
        <v/>
      </c>
      <c r="G15" s="13">
        <f>F15/$F$16</f>
        <v/>
      </c>
    </row>
    <row r="16">
      <c r="A16" s="9" t="inlineStr">
        <is>
          <t>Total</t>
        </is>
      </c>
      <c r="B16" s="14">
        <f>SUM(B5:B11)</f>
        <v/>
      </c>
      <c r="C16" s="14">
        <f>SUM(C5:C11)</f>
        <v/>
      </c>
      <c r="D16" s="14">
        <f>SUM(D5:D11)</f>
        <v/>
      </c>
      <c r="E16" s="14">
        <f>SUM(E5:E11)</f>
        <v/>
      </c>
      <c r="F16" s="14">
        <f>SUM(F5:F11)</f>
        <v/>
      </c>
    </row>
    <row r="17">
      <c r="A17" s="15" t="inlineStr">
        <is>
          <t>Part par marque</t>
        </is>
      </c>
      <c r="B17" s="13">
        <f>B16/$F$16</f>
        <v/>
      </c>
      <c r="C17" s="13">
        <f>C16/$F$16</f>
        <v/>
      </c>
      <c r="D17" s="13">
        <f>D16/$F$16</f>
        <v/>
      </c>
      <c r="E17" s="13">
        <f>E16/$F$16</f>
        <v/>
      </c>
    </row>
    <row r="18">
      <c r="A18" t="inlineStr">
        <is>
          <t>Contrôle</t>
        </is>
      </c>
      <c r="B18">
        <f>IF(F16=5000000,"OK : 5 000 000 F","ÉCART AU BUDGET")</f>
        <v/>
      </c>
    </row>
    <row r="20" ht="30" customHeight="1">
      <c r="A20" s="11" t="inlineStr">
        <is>
          <t>Répartition entre marques : hypothèse de départ (Sossa et Super Mint un peu plus, car elles ont un circuit adulte où l'animation se mesure vite). À revoir dès réception des ventes par marque.</t>
        </is>
      </c>
    </row>
    <row r="21" ht="30" customHeight="1">
      <c r="A21" s="11" t="inlineStr">
        <is>
          <t>Budget supposé TTC ⟦à confirmer⟧. Aucun tarif de média ou de prestataire n'est inventé : chaque ligne est une enveloppe, le contenu exact dépend des devis.</t>
        </is>
      </c>
    </row>
    <row r="22" ht="30" customHeight="1">
      <c r="A22" s="11" t="inlineStr">
        <is>
          <t>Coupe du Monde : produit de goûter, souvent pour les enfants. Aucune publicité ne vise les moins de 13 ans ; on parle aux parents, en magasin.</t>
        </is>
      </c>
    </row>
  </sheetData>
  <mergeCells count="5">
    <mergeCell ref="B2:I2"/>
    <mergeCell ref="A1:I1"/>
    <mergeCell ref="A22:I22"/>
    <mergeCell ref="A20:I20"/>
    <mergeCell ref="A21:I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24" customWidth="1" min="5" max="5"/>
    <col width="16" customWidth="1" min="6" max="6"/>
  </cols>
  <sheetData>
    <row r="1">
      <c r="A1" s="1" t="inlineStr">
        <is>
          <t>FICTIF : document de test. Unifood est une entreprise réelle ; budget, personnes et résultats inventés. Rien n'est engagé, acheté ni publié.</t>
        </is>
      </c>
    </row>
    <row r="2" ht="62" customHeight="1">
      <c r="B2" s="2" t="inlineStr">
        <is>
          <t>Calendrier de janvier 2027, semaine par semaine</t>
        </is>
      </c>
    </row>
    <row r="4">
      <c r="A4" s="3" t="inlineStr">
        <is>
          <t>Action</t>
        </is>
      </c>
      <c r="B4" s="3" t="inlineStr">
        <is>
          <t>S1 du 4 au 10/01</t>
        </is>
      </c>
      <c r="C4" s="3" t="inlineStr">
        <is>
          <t>S2 du 11 au 17/01</t>
        </is>
      </c>
      <c r="D4" s="3" t="inlineStr">
        <is>
          <t>S3 du 18 au 24/01</t>
        </is>
      </c>
      <c r="E4" s="3" t="inlineStr">
        <is>
          <t>S4 du 25 au 31/01</t>
        </is>
      </c>
      <c r="F4" s="3" t="inlineStr">
        <is>
          <t>Marque</t>
        </is>
      </c>
    </row>
    <row r="5">
      <c r="A5" s="4" t="inlineStr">
        <is>
          <t>PLV posée chez les boutiquiers et en grande surface</t>
        </is>
      </c>
      <c r="B5" s="16" t="inlineStr">
        <is>
          <t>pose</t>
        </is>
      </c>
      <c r="C5" s="16" t="inlineStr">
        <is>
          <t>en place</t>
        </is>
      </c>
      <c r="D5" s="16" t="inlineStr">
        <is>
          <t>en place</t>
        </is>
      </c>
      <c r="E5" s="16" t="inlineStr">
        <is>
          <t>en place</t>
        </is>
      </c>
      <c r="F5" s="5" t="inlineStr">
        <is>
          <t>Toutes</t>
        </is>
      </c>
    </row>
    <row r="6">
      <c r="A6" s="4" t="inlineStr">
        <is>
          <t>Dégustations Sossa en maquis et garbadromes</t>
        </is>
      </c>
      <c r="B6" s="16" t="inlineStr">
        <is>
          <t>Yopougon</t>
        </is>
      </c>
      <c r="C6" s="16" t="inlineStr">
        <is>
          <t>Abobo</t>
        </is>
      </c>
      <c r="D6" s="16" t="inlineStr">
        <is>
          <t>Koumassi</t>
        </is>
      </c>
      <c r="E6" s="16" t="inlineStr">
        <is>
          <t>meilleur quartier, en reprise</t>
        </is>
      </c>
      <c r="F6" s="5" t="inlineStr">
        <is>
          <t>Sossa</t>
        </is>
      </c>
    </row>
    <row r="7">
      <c r="A7" s="4" t="inlineStr">
        <is>
          <t>Dégustations Super Mint en gares routières</t>
        </is>
      </c>
      <c r="B7" s="5" t="inlineStr"/>
      <c r="C7" s="16" t="inlineStr">
        <is>
          <t>Adjamé</t>
        </is>
      </c>
      <c r="D7" s="5" t="inlineStr"/>
      <c r="E7" s="16" t="inlineStr">
        <is>
          <t>Adjamé</t>
        </is>
      </c>
      <c r="F7" s="5" t="inlineStr">
        <is>
          <t>Super Mint</t>
        </is>
      </c>
    </row>
    <row r="8">
      <c r="A8" s="4" t="inlineStr">
        <is>
          <t>Dégustations Coupe du Monde en grande surface (samedis)</t>
        </is>
      </c>
      <c r="B8" s="5" t="inlineStr"/>
      <c r="C8" s="16" t="inlineStr">
        <is>
          <t>samedi 16</t>
        </is>
      </c>
      <c r="D8" s="16" t="inlineStr">
        <is>
          <t>samedi 23</t>
        </is>
      </c>
      <c r="E8" s="16" t="inlineStr">
        <is>
          <t>samedi 30</t>
        </is>
      </c>
      <c r="F8" s="5" t="inlineStr">
        <is>
          <t>Coupe du Monde</t>
        </is>
      </c>
    </row>
    <row r="9">
      <c r="A9" s="4" t="inlineStr">
        <is>
          <t>Prime de présentation boutiquiers (contrôle photo)</t>
        </is>
      </c>
      <c r="B9" s="16" t="inlineStr">
        <is>
          <t>inscription</t>
        </is>
      </c>
      <c r="C9" s="16" t="inlineStr">
        <is>
          <t>contrôle</t>
        </is>
      </c>
      <c r="D9" s="16" t="inlineStr">
        <is>
          <t>contrôle</t>
        </is>
      </c>
      <c r="E9" s="16" t="inlineStr">
        <is>
          <t>paiement</t>
        </is>
      </c>
      <c r="F9" s="5" t="inlineStr">
        <is>
          <t>Toutes</t>
        </is>
      </c>
    </row>
    <row r="10">
      <c r="A10" s="4" t="inlineStr">
        <is>
          <t>Publicité Facebook et Instagram</t>
        </is>
      </c>
      <c r="B10" s="16" t="inlineStr">
        <is>
          <t>X</t>
        </is>
      </c>
      <c r="C10" s="16" t="inlineStr">
        <is>
          <t>X</t>
        </is>
      </c>
      <c r="D10" s="16" t="inlineStr">
        <is>
          <t>X</t>
        </is>
      </c>
      <c r="E10" s="16" t="inlineStr">
        <is>
          <t>X</t>
        </is>
      </c>
      <c r="F10" s="5" t="inlineStr">
        <is>
          <t>Toutes</t>
        </is>
      </c>
    </row>
    <row r="11">
      <c r="A11" s="4" t="inlineStr">
        <is>
          <t>Publicité TikTok</t>
        </is>
      </c>
      <c r="B11" s="5" t="inlineStr"/>
      <c r="C11" s="16" t="inlineStr">
        <is>
          <t>X</t>
        </is>
      </c>
      <c r="D11" s="16" t="inlineStr">
        <is>
          <t>X</t>
        </is>
      </c>
      <c r="E11" s="16" t="inlineStr">
        <is>
          <t>X</t>
        </is>
      </c>
      <c r="F11" s="5" t="inlineStr">
        <is>
          <t>Super Mint</t>
        </is>
      </c>
    </row>
    <row r="12">
      <c r="A12" s="4" t="inlineStr">
        <is>
          <t>Point de décision</t>
        </is>
      </c>
      <c r="B12" s="16" t="inlineStr">
        <is>
          <t>lundi 4 : départ</t>
        </is>
      </c>
      <c r="C12" s="5" t="inlineStr"/>
      <c r="D12" s="16" t="inlineStr">
        <is>
          <t>lundi 18 : réserve</t>
        </is>
      </c>
      <c r="E12" s="16" t="inlineStr">
        <is>
          <t>lundi 1er février : bilan</t>
        </is>
      </c>
      <c r="F12" s="5" t="inlineStr"/>
    </row>
    <row r="14">
      <c r="A14" s="11" t="inlineStr">
        <is>
          <t>1er janvier : jour férié, aucune action. Les publicités démarrent le lundi 4, pas pendant le week-end du Nouvel An.</t>
        </is>
      </c>
    </row>
  </sheetData>
  <mergeCells count="3">
    <mergeCell ref="B2:F2"/>
    <mergeCell ref="A14:F1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6" customWidth="1" min="3" max="3"/>
    <col width="24" customWidth="1" min="4" max="4"/>
    <col width="20" customWidth="1" min="5" max="5"/>
    <col width="40" customWidth="1" min="6" max="6"/>
  </cols>
  <sheetData>
    <row r="1">
      <c r="A1" s="1" t="inlineStr">
        <is>
          <t>FICTIF : document de test. Unifood est une entreprise réelle ; budget, personnes et résultats inventés. Rien n'est engagé, acheté ni publié.</t>
        </is>
      </c>
    </row>
    <row r="2" ht="62" customHeight="1">
      <c r="B2" s="2" t="inlineStr">
        <is>
          <t>Ce qu'on mesure, et qui le relève</t>
        </is>
      </c>
    </row>
    <row r="4">
      <c r="A4" s="3" t="inlineStr">
        <is>
          <t>Indicateur</t>
        </is>
      </c>
      <c r="B4" s="3" t="inlineStr">
        <is>
          <t>Marque</t>
        </is>
      </c>
      <c r="C4" s="3" t="inlineStr">
        <is>
          <t>Source</t>
        </is>
      </c>
      <c r="D4" s="3" t="inlineStr">
        <is>
          <t>Qui</t>
        </is>
      </c>
      <c r="E4" s="3" t="inlineStr">
        <is>
          <t>Quand</t>
        </is>
      </c>
      <c r="F4" s="3" t="inlineStr">
        <is>
          <t>Objectif</t>
        </is>
      </c>
    </row>
    <row r="5">
      <c r="A5" s="4" t="inlineStr">
        <is>
          <t>Cartons vendus (sell-in) janvier 2027 contre janvier 2026</t>
        </is>
      </c>
      <c r="B5" s="5" t="inlineStr">
        <is>
          <t>Chacune</t>
        </is>
      </c>
      <c r="C5" s="5" t="inlineStr">
        <is>
          <t>Facturation Unifood</t>
        </is>
      </c>
      <c r="D5" s="5" t="inlineStr">
        <is>
          <t>Hervé Gnagne (FICTIF)</t>
        </is>
      </c>
      <c r="E5" s="5" t="inlineStr">
        <is>
          <t>chaque lundi</t>
        </is>
      </c>
      <c r="F5" s="5" t="inlineStr">
        <is>
          <t>⟦à fixer avec la base 2026⟧</t>
        </is>
      </c>
    </row>
    <row r="6">
      <c r="A6" s="4" t="inlineStr">
        <is>
          <t>Points de vente avec PLV posée et visible</t>
        </is>
      </c>
      <c r="B6" s="5" t="inlineStr">
        <is>
          <t>Toutes</t>
        </is>
      </c>
      <c r="C6" s="5" t="inlineStr">
        <is>
          <t>Photos des commerciaux</t>
        </is>
      </c>
      <c r="D6" s="5" t="inlineStr">
        <is>
          <t>Équipe commerciale</t>
        </is>
      </c>
      <c r="E6" s="5" t="inlineStr">
        <is>
          <t>S1 puis chaque vendredi</t>
        </is>
      </c>
      <c r="F6" s="5" t="inlineStr">
        <is>
          <t>⟦nombre à fixer selon les tournées⟧</t>
        </is>
      </c>
    </row>
    <row r="7">
      <c r="A7" s="4" t="inlineStr">
        <is>
          <t>Échantillons distribués et contacts recueillis</t>
        </is>
      </c>
      <c r="B7" s="5" t="inlineStr">
        <is>
          <t>Par marque</t>
        </is>
      </c>
      <c r="C7" s="5" t="inlineStr">
        <is>
          <t>Fiche de l'animateur</t>
        </is>
      </c>
      <c r="D7" s="5" t="inlineStr">
        <is>
          <t>Prestataire animation</t>
        </is>
      </c>
      <c r="E7" s="5" t="inlineStr">
        <is>
          <t>après chaque animation</t>
        </is>
      </c>
      <c r="F7" s="5" t="inlineStr">
        <is>
          <t>suivi, pas d'objectif imposé la 1re fois</t>
        </is>
      </c>
    </row>
    <row r="8">
      <c r="A8" s="4" t="inlineStr">
        <is>
          <t>Messages WhatsApp reçus des boutiquiers</t>
        </is>
      </c>
      <c r="B8" s="5" t="inlineStr">
        <is>
          <t>Toutes</t>
        </is>
      </c>
      <c r="C8" s="5" t="inlineStr">
        <is>
          <t>WhatsApp Business commercial</t>
        </is>
      </c>
      <c r="D8" s="5" t="inlineStr">
        <is>
          <t>Prisca Yao (FICTIF)</t>
        </is>
      </c>
      <c r="E8" s="5" t="inlineStr">
        <is>
          <t>chaque lundi</t>
        </is>
      </c>
      <c r="F8" s="5" t="inlineStr">
        <is>
          <t>suivi</t>
        </is>
      </c>
    </row>
    <row r="9">
      <c r="A9" s="4" t="inlineStr">
        <is>
          <t>Coût par message WhatsApp issu de la publicité</t>
        </is>
      </c>
      <c r="B9" s="5" t="inlineStr">
        <is>
          <t>Toutes</t>
        </is>
      </c>
      <c r="C9" s="5" t="inlineStr">
        <is>
          <t>Gestionnaire Meta</t>
        </is>
      </c>
      <c r="D9" s="5" t="inlineStr">
        <is>
          <t>Fatima</t>
        </is>
      </c>
      <c r="E9" s="5" t="inlineStr">
        <is>
          <t>chaque lundi</t>
        </is>
      </c>
      <c r="F9" s="5" t="inlineStr">
        <is>
          <t>on coupe une publicité 2 fois plus chère que la moyenne</t>
        </is>
      </c>
    </row>
    <row r="10">
      <c r="A10" s="4" t="inlineStr">
        <is>
          <t>Vues complètes des vidéos Super Mint</t>
        </is>
      </c>
      <c r="B10" s="5" t="inlineStr">
        <is>
          <t>Super Mint</t>
        </is>
      </c>
      <c r="C10" s="5" t="inlineStr">
        <is>
          <t>TikTok Ads</t>
        </is>
      </c>
      <c r="D10" s="5" t="inlineStr">
        <is>
          <t>Fatima</t>
        </is>
      </c>
      <c r="E10" s="5" t="inlineStr">
        <is>
          <t>chaque lundi</t>
        </is>
      </c>
      <c r="F10" s="5" t="inlineStr">
        <is>
          <t>suivi</t>
        </is>
      </c>
    </row>
  </sheetData>
  <mergeCells count="2">
    <mergeCell ref="B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26" customWidth="1" min="3" max="3"/>
  </cols>
  <sheetData>
    <row r="1">
      <c r="A1" s="1" t="inlineStr">
        <is>
          <t>FICTIF : document de test. Unifood est une entreprise réelle ; budget, personnes et résultats inventés. Rien n'est engagé, acheté ni publié.</t>
        </is>
      </c>
    </row>
    <row r="2" ht="62" customHeight="1">
      <c r="B2" s="2" t="inlineStr">
        <is>
          <t>Ce qu'il me manque, et qui peut répondre</t>
        </is>
      </c>
    </row>
    <row r="4">
      <c r="A4" s="3" t="inlineStr">
        <is>
          <t>Point</t>
        </is>
      </c>
      <c r="B4" s="3" t="inlineStr">
        <is>
          <t>Pourquoi c'est bloquant</t>
        </is>
      </c>
      <c r="C4" s="3" t="inlineStr">
        <is>
          <t>Qui</t>
        </is>
      </c>
    </row>
    <row r="5">
      <c r="A5" s="4" t="inlineStr">
        <is>
          <t>« Super Mi » = Super Mint ?</t>
        </is>
      </c>
      <c r="B5" s="5" t="inlineStr">
        <is>
          <t>Je ne trouve pas « Super Mi » dans la gamme publique.</t>
        </is>
      </c>
      <c r="C5" s="5" t="inlineStr">
        <is>
          <t>Mariam Koné</t>
        </is>
      </c>
    </row>
    <row r="6">
      <c r="A6" s="4" t="inlineStr">
        <is>
          <t>Gaufrette Coupe du Monde toujours produite et livrée ?</t>
        </is>
      </c>
      <c r="B6" s="5" t="inlineStr">
        <is>
          <t>Le site la dit « historique » ; inutile de dépenser sur un produit absent des rayons.</t>
        </is>
      </c>
      <c r="C6" s="5" t="inlineStr">
        <is>
          <t>Direction commerciale</t>
        </is>
      </c>
    </row>
    <row r="7">
      <c r="A7" s="4" t="inlineStr">
        <is>
          <t>Mois de diffusion (janvier 2027 proposé)</t>
        </is>
      </c>
      <c r="B7" s="5" t="inlineStr">
        <is>
          <t>Novembre et décembre sont déjà pris par Rio Pop Fêtes 2026.</t>
        </is>
      </c>
      <c r="C7" s="5" t="inlineStr">
        <is>
          <t>Mariam Koné</t>
        </is>
      </c>
    </row>
    <row r="8">
      <c r="A8" s="4" t="inlineStr">
        <is>
          <t>Budget TTC ou HT ?</t>
        </is>
      </c>
      <c r="B8" s="5" t="inlineStr">
        <is>
          <t>Change le montant réellement disponible.</t>
        </is>
      </c>
      <c r="C8" s="5" t="inlineStr">
        <is>
          <t>Mariam Koné</t>
        </is>
      </c>
    </row>
    <row r="9">
      <c r="A9" s="4" t="inlineStr">
        <is>
          <t>Ventes de janvier 2026 par marque</t>
        </is>
      </c>
      <c r="B9" s="5" t="inlineStr">
        <is>
          <t>Sans base, on ne peut pas prouver le résultat.</t>
        </is>
      </c>
      <c r="C9" s="5" t="inlineStr">
        <is>
          <t>Hervé Gnagne (FICTIF)</t>
        </is>
      </c>
    </row>
    <row r="10">
      <c r="A10" s="4" t="inlineStr">
        <is>
          <t>Enseignes de grande distribution visées et leurs conditions de mise en avant</t>
        </is>
      </c>
      <c r="B10" s="5" t="inlineStr">
        <is>
          <t>Les têtes de gondole se négocient enseigne par enseigne.</t>
        </is>
      </c>
      <c r="C10" s="5" t="inlineStr">
        <is>
          <t>Direction commerciale</t>
        </is>
      </c>
    </row>
    <row r="11">
      <c r="A11" s="4" t="inlineStr">
        <is>
          <t>Devis impression PLV et animation</t>
        </is>
      </c>
      <c r="B11" s="5" t="inlineStr">
        <is>
          <t>Le contenu exact des lignes dépend des prix.</t>
        </is>
      </c>
      <c r="C11" s="5" t="inlineStr">
        <is>
          <t>Fatima, sur accord</t>
        </is>
      </c>
    </row>
  </sheetData>
  <mergeCells count="2">
    <mergeCell ref="A1:C1"/>
    <mergeCell ref="B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2026-10-19T10:57:15Z</dcterms:created>
  <dcterms:modified xmlns:dcterms="http://purl.org/dc/terms/" xmlns:xsi="http://www.w3.org/2001/XMLSchema-instance" xsi:type="dcterms:W3CDTF">2026-10-19T10:57:15Z</dcterms:modified>
</cp:coreProperties>
</file>