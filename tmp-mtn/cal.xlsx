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semaine" sheetId="1" state="visible" r:id="rId1"/>
    <sheet xmlns:r="http://schemas.openxmlformats.org/officeDocument/2006/relationships" name="Calendrier détaillé" sheetId="2" state="visible" r:id="rId2"/>
    <sheet xmlns:r="http://schemas.openxmlformats.org/officeDocument/2006/relationships" name="Formats par réseau" sheetId="3" state="visible" r:id="rId3"/>
    <sheet xmlns:r="http://schemas.openxmlformats.org/officeDocument/2006/relationships" name="Répartition" sheetId="4" state="visible" r:id="rId4"/>
  </sheets>
  <definedNames>
    <definedName name="_xlnm._FilterDatabase" localSheetId="1" hidden="1">'Calendrier détaillé'!$A$1:$R$21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ontserrat"/>
      <b val="1"/>
      <sz val="16"/>
    </font>
    <font>
      <name val="Montserrat"/>
      <i val="1"/>
      <sz val="10"/>
    </font>
    <font>
      <name val="Montserrat"/>
      <b val="1"/>
      <color rgb="00FFCB05"/>
    </font>
    <font>
      <name val="Montserrat"/>
      <b val="1"/>
      <sz val="10"/>
    </font>
    <font>
      <name val="Montserrat"/>
      <sz val="10"/>
    </font>
    <font>
      <name val="Montserrat"/>
      <b val="1"/>
      <sz val="14"/>
    </font>
  </fonts>
  <fills count="6">
    <fill>
      <patternFill/>
    </fill>
    <fill>
      <patternFill patternType="gray125"/>
    </fill>
    <fill>
      <patternFill patternType="solid">
        <fgColor rgb="00FFCB05"/>
      </patternFill>
    </fill>
    <fill>
      <patternFill patternType="solid"/>
    </fill>
    <fill>
      <patternFill patternType="solid">
        <fgColor rgb="00FFF8D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3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22" customWidth="1" min="4" max="4"/>
    <col width="18" customWidth="1" min="5" max="5"/>
    <col width="22" customWidth="1" min="6" max="6"/>
    <col width="48" customWidth="1" min="7" max="7"/>
    <col width="26" customWidth="1" min="8" max="8"/>
  </cols>
  <sheetData>
    <row r="1" ht="34" customHeight="1">
      <c r="A1" s="1" t="inlineStr">
        <is>
          <t>MTN Côte d’Ivoire · Calendrier de contenu du 26 octobre au 1er novembre 2026</t>
        </is>
      </c>
    </row>
    <row r="2">
      <c r="A2" s="2" t="inlineStr">
        <is>
          <t>Facebook, Instagram et TikTok · cible 18-30 ans à Abidjan · 20 publications · tout est au statut « À valider »</t>
        </is>
      </c>
    </row>
    <row r="4">
      <c r="A4" s="3" t="inlineStr">
        <is>
          <t>Jour</t>
        </is>
      </c>
      <c r="B4" s="3" t="inlineStr">
        <is>
          <t>Date</t>
        </is>
      </c>
      <c r="C4" s="3" t="inlineStr">
        <is>
          <t>Rendez-vous</t>
        </is>
      </c>
      <c r="D4" s="3" t="inlineStr">
        <is>
          <t>Pilier</t>
        </is>
      </c>
      <c r="E4" s="3" t="inlineStr">
        <is>
          <t>Objectif</t>
        </is>
      </c>
      <c r="F4" s="3" t="inlineStr">
        <is>
          <t>Visuel (aperçu)</t>
        </is>
      </c>
      <c r="G4" s="3" t="inlineStr">
        <is>
          <t>Ce qu’on montre</t>
        </is>
      </c>
      <c r="H4" s="3" t="inlineStr">
        <is>
          <t>Publications</t>
        </is>
      </c>
    </row>
    <row r="5" ht="150" customHeight="1">
      <c r="A5" s="4" t="inlineStr">
        <is>
          <t>Lundi</t>
        </is>
      </c>
      <c r="B5" s="5" t="inlineStr">
        <is>
          <t>26/10/2026</t>
        </is>
      </c>
      <c r="C5" s="4" t="inlineStr">
        <is>
          <t>La galère de la semaine
Vote pour la pire</t>
        </is>
      </c>
      <c r="D5" s="5" t="inlineStr">
        <is>
          <t>Vie à Abidjan</t>
        </is>
      </c>
      <c r="E5" s="5" t="inlineStr">
        <is>
          <t>Engagement (TOFU)</t>
        </is>
      </c>
      <c r="F5" s="6">
        <f>IMAGE("https://raw.githubusercontent.com/leslita06/fatima-unifood-fictif/b5fd701c6db624727d051dd33d2b7333b9559042/mtn-calendrier/d1_feed.jpg")</f>
        <v/>
      </c>
      <c r="G5" s="5" t="inlineStr">
        <is>
          <t>Photo de rue embouteillée, bandeau jaune MTN, titre en gros, logo en haut. Carrousel : 1 couverture + 3 situations (une par visuel) + 1 visuel « Vote en commentaire ».</t>
        </is>
      </c>
      <c r="H5" s="5" t="inlineStr">
        <is>
          <t>3 : Facebook, Instagram, TikTok</t>
        </is>
      </c>
    </row>
    <row r="6" ht="150" customHeight="1">
      <c r="A6" s="4" t="inlineStr">
        <is>
          <t>Mardi</t>
        </is>
      </c>
      <c r="B6" s="5" t="inlineStr">
        <is>
          <t>27/10/2026</t>
        </is>
      </c>
      <c r="C6" s="4" t="inlineStr">
        <is>
          <t>Traduis ce message de ta maman
« Rappelle-moi. C'est rien. »</t>
        </is>
      </c>
      <c r="D6" s="5" t="inlineStr">
        <is>
          <t>Humour et famille</t>
        </is>
      </c>
      <c r="E6" s="5" t="inlineStr">
        <is>
          <t>Engagement (TOFU)</t>
        </is>
      </c>
      <c r="F6" s="6">
        <f>IMAGE("https://raw.githubusercontent.com/leslita06/fatima-unifood-fictif/b5fd701c6db624727d051dd33d2b7333b9559042/mtn-calendrier/d2_feed.jpg")</f>
        <v/>
      </c>
      <c r="G6" s="5" t="inlineStr">
        <is>
          <t>Jeune femme qui rit devant son téléphone, bulle de message « Rappelle-moi. C'est rien. » en surimpression, bandeau jaune.</t>
        </is>
      </c>
      <c r="H6" s="5" t="inlineStr">
        <is>
          <t>3 : TikTok, Instagram, Facebook</t>
        </is>
      </c>
    </row>
    <row r="7" ht="150" customHeight="1">
      <c r="A7" s="4" t="inlineStr">
        <is>
          <t>Mercredi</t>
        </is>
      </c>
      <c r="B7" s="5" t="inlineStr">
        <is>
          <t>28/10/2026</t>
        </is>
      </c>
      <c r="C7" s="4" t="inlineStr">
        <is>
          <t>Explique sans dire le mot
Le défi de la rue</t>
        </is>
      </c>
      <c r="D7" s="5" t="inlineStr">
        <is>
          <t>Défis et participation</t>
        </is>
      </c>
      <c r="E7" s="5" t="inlineStr">
        <is>
          <t>Engagement (TOFU)</t>
        </is>
      </c>
      <c r="F7" s="6">
        <f>IMAGE("https://raw.githubusercontent.com/leslita06/fatima-unifood-fictif/b5fd701c6db624727d051dd33d2b7333b9559042/mtn-calendrier/d3_feed.jpg")</f>
        <v/>
      </c>
      <c r="G7" s="5" t="inlineStr">
        <is>
          <t>Micro-trottoir tourné à Cocody, Yopougon, Treichville. Couverture : jeunes dans la rue, mot interdit barré en jaune.</t>
        </is>
      </c>
      <c r="H7" s="5" t="inlineStr">
        <is>
          <t>3 : TikTok, Instagram, Facebook</t>
        </is>
      </c>
    </row>
    <row r="8" ht="150" customHeight="1">
      <c r="A8" s="4" t="inlineStr">
        <is>
          <t>Jeudi</t>
        </is>
      </c>
      <c r="B8" s="5" t="inlineStr">
        <is>
          <t>29/10/2026</t>
        </is>
      </c>
      <c r="C8" s="4" t="inlineStr">
        <is>
          <t>Ta commune, ton super-pouvoir
Épisode 1 : Yopougon</t>
        </is>
      </c>
      <c r="D8" s="5" t="inlineStr">
        <is>
          <t>Fierté des quartiers</t>
        </is>
      </c>
      <c r="E8" s="5" t="inlineStr">
        <is>
          <t>Engagement (TOFU)</t>
        </is>
      </c>
      <c r="F8" s="6">
        <f>IMAGE("https://raw.githubusercontent.com/leslita06/fatima-unifood-fictif/b5fd701c6db624727d051dd33d2b7333b9559042/mtn-calendrier/d4_feed.jpg")</f>
        <v/>
      </c>
      <c r="G8" s="5" t="inlineStr">
        <is>
          <t>Trois amis qui rient, titre « Yop : le pouvoir de l'enjaillement », pastille jaune « Épisode 1 ».</t>
        </is>
      </c>
      <c r="H8" s="5" t="inlineStr">
        <is>
          <t>3 : Facebook, TikTok, Instagram</t>
        </is>
      </c>
    </row>
    <row r="9" ht="150" customHeight="1">
      <c r="A9" s="4" t="inlineStr">
        <is>
          <t>Vendredi</t>
        </is>
      </c>
      <c r="B9" s="5" t="inlineStr">
        <is>
          <t>30/10/2026</t>
        </is>
      </c>
      <c r="C9" s="4" t="inlineStr">
        <is>
          <t>Mode 25 ou mode 5 ?
Le sketch de fin de mois</t>
        </is>
      </c>
      <c r="D9" s="5" t="inlineStr">
        <is>
          <t>Argent du quotidien (MoMo)</t>
        </is>
      </c>
      <c r="E9" s="5" t="inlineStr">
        <is>
          <t>Considération (MOFU)</t>
        </is>
      </c>
      <c r="F9" s="6">
        <f>IMAGE("https://raw.githubusercontent.com/leslita06/fatima-unifood-fictif/b5fd701c6db624727d051dd33d2b7333b9559042/mtn-calendrier/d5_feed.jpg")</f>
        <v/>
      </c>
      <c r="G9" s="5" t="inlineStr">
        <is>
          <t>Écran partagé : à gauche « Le 25 » (repas entre amis), à droite « Le 5 » (le même, portefeuille vide). Fin de vidéo : envoi d'argent par MoMo.</t>
        </is>
      </c>
      <c r="H9" s="5" t="inlineStr">
        <is>
          <t>3 : TikTok, Facebook, Instagram</t>
        </is>
      </c>
    </row>
    <row r="10" ht="150" customHeight="1">
      <c r="A10" s="4" t="inlineStr">
        <is>
          <t>Samedi</t>
        </is>
      </c>
      <c r="B10" s="5" t="inlineStr">
        <is>
          <t>31/10/2026</t>
        </is>
      </c>
      <c r="C10" s="4" t="inlineStr">
        <is>
          <t>Le verdict est tombé
La pire galère de la semaine</t>
        </is>
      </c>
      <c r="D10" s="5" t="inlineStr">
        <is>
          <t>Vie à Abidjan</t>
        </is>
      </c>
      <c r="E10" s="5" t="inlineStr">
        <is>
          <t>Engagement (TOFU)</t>
        </is>
      </c>
      <c r="F10" s="6">
        <f>IMAGE("https://raw.githubusercontent.com/leslita06/fatima-unifood-fictif/b5fd701c6db624727d051dd33d2b7333b9559042/mtn-calendrier/d6_feed.jpg")</f>
        <v/>
      </c>
      <c r="G10" s="5" t="inlineStr">
        <is>
          <t>Jeune homme qui rit devant son téléphone, tampon jaune « VERDICT », la situation gagnante écrite en gros.</t>
        </is>
      </c>
      <c r="H10" s="5" t="inlineStr">
        <is>
          <t>3 : Facebook, Instagram, TikTok</t>
        </is>
      </c>
    </row>
    <row r="11" ht="150" customHeight="1">
      <c r="A11" s="4" t="inlineStr">
        <is>
          <t>Dimanche</t>
        </is>
      </c>
      <c r="B11" s="5" t="inlineStr">
        <is>
          <t>01/11/2026</t>
        </is>
      </c>
      <c r="C11" s="4" t="inlineStr">
        <is>
          <t>Toussaint
Une pensée pour ceux qui nous ont quittés</t>
        </is>
      </c>
      <c r="D11" s="5" t="inlineStr">
        <is>
          <t>Moments de la nation</t>
        </is>
      </c>
      <c r="E11" s="5" t="inlineStr">
        <is>
          <t>Image de marque</t>
        </is>
      </c>
      <c r="F11" s="6">
        <f>IMAGE("https://raw.githubusercontent.com/leslita06/fatima-unifood-fictif/b5fd701c6db624727d051dd33d2b7333b9559042/mtn-calendrier/d7_feed.jpg")</f>
        <v/>
      </c>
      <c r="G11" s="5" t="inlineStr">
        <is>
          <t>Visuel sobre : fond noir, texte blanc, filet jaune fin, logo MTN discret. Pas d'humour, pas de produit, pas d'offre.</t>
        </is>
      </c>
      <c r="H11" s="5" t="inlineStr">
        <is>
          <t>2 : Facebook, Instagram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11" customWidth="1" min="4" max="4"/>
    <col width="20" customWidth="1" min="5" max="5"/>
    <col width="16" customWidth="1" min="6" max="6"/>
    <col width="18" customWidth="1" min="7" max="7"/>
    <col width="15" customWidth="1" min="8" max="8"/>
    <col width="26" customWidth="1" min="9" max="9"/>
    <col width="26" customWidth="1" min="10" max="10"/>
    <col width="52" customWidth="1" min="11" max="11"/>
    <col width="30" customWidth="1" min="12" max="12"/>
    <col width="20" customWidth="1" min="13" max="13"/>
    <col width="18" customWidth="1" min="14" max="14"/>
    <col width="22" customWidth="1" min="15" max="15"/>
    <col width="36" customWidth="1" min="16" max="16"/>
    <col width="24" customWidth="1" min="17" max="17"/>
    <col width="11" customWidth="1" min="18" max="18"/>
  </cols>
  <sheetData>
    <row r="1" ht="32" customHeight="1">
      <c r="A1" s="3" t="inlineStr">
        <is>
          <t>Jour</t>
        </is>
      </c>
      <c r="B1" s="3" t="inlineStr">
        <is>
          <t>Date</t>
        </is>
      </c>
      <c r="C1" s="3" t="inlineStr">
        <is>
          <t>Heure</t>
        </is>
      </c>
      <c r="D1" s="3" t="inlineStr">
        <is>
          <t>Réseau</t>
        </is>
      </c>
      <c r="E1" s="3" t="inlineStr">
        <is>
          <t>Format</t>
        </is>
      </c>
      <c r="F1" s="3" t="inlineStr">
        <is>
          <t>Dimensions</t>
        </is>
      </c>
      <c r="G1" s="3" t="inlineStr">
        <is>
          <t>Pilier</t>
        </is>
      </c>
      <c r="H1" s="3" t="inlineStr">
        <is>
          <t>Objectif</t>
        </is>
      </c>
      <c r="I1" s="3" t="inlineStr">
        <is>
          <t>Accroche A</t>
        </is>
      </c>
      <c r="J1" s="3" t="inlineStr">
        <is>
          <t>Accroche B (à tester)</t>
        </is>
      </c>
      <c r="K1" s="3" t="inlineStr">
        <is>
          <t>Texte de la publication</t>
        </is>
      </c>
      <c r="L1" s="3" t="inlineStr">
        <is>
          <t>Hashtags</t>
        </is>
      </c>
      <c r="M1" s="3" t="inlineStr">
        <is>
          <t>Appel à l’action</t>
        </is>
      </c>
      <c r="N1" s="3" t="inlineStr">
        <is>
          <t>Visuel (aperçu)</t>
        </is>
      </c>
      <c r="O1" s="3" t="inlineStr">
        <is>
          <t>Lien du visuel</t>
        </is>
      </c>
      <c r="P1" s="3" t="inlineStr">
        <is>
          <t>Consignes pour le visuel</t>
        </is>
      </c>
      <c r="Q1" s="3" t="inlineStr">
        <is>
          <t>Crédit photo</t>
        </is>
      </c>
      <c r="R1" s="3" t="inlineStr">
        <is>
          <t>Statut</t>
        </is>
      </c>
    </row>
    <row r="2" ht="140" customHeight="1">
      <c r="A2" s="7" t="inlineStr">
        <is>
          <t>Lundi</t>
        </is>
      </c>
      <c r="B2" s="8" t="inlineStr">
        <is>
          <t>26/10/2026</t>
        </is>
      </c>
      <c r="C2" s="8" t="inlineStr">
        <is>
          <t>12:30</t>
        </is>
      </c>
      <c r="D2" s="7" t="inlineStr">
        <is>
          <t>Facebook</t>
        </is>
      </c>
      <c r="E2" s="8" t="inlineStr">
        <is>
          <t>Carrousel (5 visuels)</t>
        </is>
      </c>
      <c r="F2" s="8" t="inlineStr">
        <is>
          <t>1080 × 1080 px</t>
        </is>
      </c>
      <c r="G2" s="8" t="inlineStr">
        <is>
          <t>Vie à Abidjan</t>
        </is>
      </c>
      <c r="H2" s="8" t="inlineStr">
        <is>
          <t>Engagement (TOFU)</t>
        </is>
      </c>
      <c r="I2" s="8" t="inlineStr">
        <is>
          <t>Trois galères, une seule gagnante. À toi de voter 👇</t>
        </is>
      </c>
      <c r="J2" s="8" t="inlineStr">
        <is>
          <t>Laquelle t'a déjà fait souffrir ?</t>
        </is>
      </c>
      <c r="K2" s="8" t="inlineStr">
        <is>
          <t>Trois galères, une seule gagnante. À toi de voter 👇
1️⃣ Le gbaka qui dit « on part » depuis 40 minutes
2️⃣ Le voisin qui partage ta connexion sans prévenir
3️⃣ La tantie qui écrit « tu es où ? » quatre fois en dix minutes
Vote en commentaire avec 1, 2 ou 3. Résultat samedi.</t>
        </is>
      </c>
      <c r="L2" s="8" t="inlineStr">
        <is>
          <t>#MTNCI #Abidjan #GalereDeLaSemaine</t>
        </is>
      </c>
      <c r="M2" s="8" t="inlineStr">
        <is>
          <t>Voter en commentaire (1, 2 ou 3)</t>
        </is>
      </c>
      <c r="N2" s="9">
        <f>IMAGE("https://raw.githubusercontent.com/leslita06/fatima-unifood-fictif/b5fd701c6db624727d051dd33d2b7333b9559042/mtn-calendrier/d1_feed.jpg")</f>
        <v/>
      </c>
      <c r="O2" s="8" t="inlineStr">
        <is>
          <t>https://raw.githubusercontent.com/leslita06/fatima-unifood-fictif/b5fd701c6db624727d051dd33d2b7333b9559042/mtn-calendrier/d1_feed.jpg</t>
        </is>
      </c>
      <c r="P2" s="8" t="inlineStr">
        <is>
          <t>Photo de rue embouteillée, bandeau jaune MTN, titre en gros, logo en haut. Carrousel : 1 couverture + 3 situations (une par visuel) + 1 visuel « Vote en commentaire ».</t>
        </is>
      </c>
      <c r="Q2" s="8" t="inlineStr">
        <is>
          <t>Pexels, TUBARONES PHOTOGRAPHY (photo n° 16332790)</t>
        </is>
      </c>
      <c r="R2" s="10" t="inlineStr">
        <is>
          <t>À valider</t>
        </is>
      </c>
    </row>
    <row r="3" ht="140" customHeight="1">
      <c r="A3" s="7" t="inlineStr">
        <is>
          <t>Lundi</t>
        </is>
      </c>
      <c r="B3" s="8" t="inlineStr">
        <is>
          <t>26/10/2026</t>
        </is>
      </c>
      <c r="C3" s="8" t="inlineStr">
        <is>
          <t>18:30</t>
        </is>
      </c>
      <c r="D3" s="7" t="inlineStr">
        <is>
          <t>Instagram</t>
        </is>
      </c>
      <c r="E3" s="8" t="inlineStr">
        <is>
          <t>Carrousel (5 visuels)</t>
        </is>
      </c>
      <c r="F3" s="8" t="inlineStr">
        <is>
          <t>1080 × 1350 px (4:5)</t>
        </is>
      </c>
      <c r="G3" s="8" t="inlineStr">
        <is>
          <t>Vie à Abidjan</t>
        </is>
      </c>
      <c r="H3" s="8" t="inlineStr">
        <is>
          <t>Engagement (TOFU)</t>
        </is>
      </c>
      <c r="I3" s="8" t="inlineStr">
        <is>
          <t>Abidjan, on vote 🗳️</t>
        </is>
      </c>
      <c r="J3" s="8" t="inlineStr">
        <is>
          <t>La galère que tout le monde connaît</t>
        </is>
      </c>
      <c r="K3" s="8" t="inlineStr">
        <is>
          <t>Abidjan, on vote 🗳️
Glisse pour voir les trois galères de la semaine 👉
Ta réponse en commentaire : 1, 2 ou 3.
La gagnante sera annoncée samedi.</t>
        </is>
      </c>
      <c r="L3" s="8" t="inlineStr">
        <is>
          <t>#MTNCI #Abidjan #CoteDIvoire #GalereDeLaSemaine #Gbaka #VieAbidjan #Babi #Yop #Cocody</t>
        </is>
      </c>
      <c r="M3" s="8" t="inlineStr">
        <is>
          <t>Commenter 1, 2 ou 3</t>
        </is>
      </c>
      <c r="N3" s="9">
        <f>IMAGE("https://raw.githubusercontent.com/leslita06/fatima-unifood-fictif/b5fd701c6db624727d051dd33d2b7333b9559042/mtn-calendrier/d1_feed.jpg")</f>
        <v/>
      </c>
      <c r="O3" s="8" t="inlineStr">
        <is>
          <t>https://raw.githubusercontent.com/leslita06/fatima-unifood-fictif/b5fd701c6db624727d051dd33d2b7333b9559042/mtn-calendrier/d1_feed.jpg</t>
        </is>
      </c>
      <c r="P3" s="8" t="inlineStr">
        <is>
          <t>Photo de rue embouteillée, bandeau jaune MTN, titre en gros, logo en haut. Carrousel : 1 couverture + 3 situations (une par visuel) + 1 visuel « Vote en commentaire ».</t>
        </is>
      </c>
      <c r="Q3" s="8" t="inlineStr">
        <is>
          <t>Pexels, TUBARONES PHOTOGRAPHY (photo n° 16332790)</t>
        </is>
      </c>
      <c r="R3" s="10" t="inlineStr">
        <is>
          <t>À valider</t>
        </is>
      </c>
    </row>
    <row r="4" ht="170" customHeight="1">
      <c r="A4" s="7" t="inlineStr">
        <is>
          <t>Lundi</t>
        </is>
      </c>
      <c r="B4" s="8" t="inlineStr">
        <is>
          <t>26/10/2026</t>
        </is>
      </c>
      <c r="C4" s="8" t="inlineStr">
        <is>
          <t>20:00</t>
        </is>
      </c>
      <c r="D4" s="7" t="inlineStr">
        <is>
          <t>TikTok</t>
        </is>
      </c>
      <c r="E4" s="8" t="inlineStr">
        <is>
          <t>Diaporama photo (mode photo)</t>
        </is>
      </c>
      <c r="F4" s="8" t="inlineStr">
        <is>
          <t>1080 × 1920 px (9:16)</t>
        </is>
      </c>
      <c r="G4" s="8" t="inlineStr">
        <is>
          <t>Vie à Abidjan</t>
        </is>
      </c>
      <c r="H4" s="8" t="inlineStr">
        <is>
          <t>Engagement (TOFU)</t>
        </is>
      </c>
      <c r="I4" s="8" t="inlineStr">
        <is>
          <t>POV : tu vis à Abidjan</t>
        </is>
      </c>
      <c r="J4" s="8" t="inlineStr">
        <is>
          <t>Note ces galères de 1 à 3</t>
        </is>
      </c>
      <c r="K4" s="8" t="inlineStr">
        <is>
          <t>POV : tu vis à Abidjan 😭 Laquelle tu vis chaque semaine ? Réponds en commentaire.</t>
        </is>
      </c>
      <c r="L4" s="8" t="inlineStr">
        <is>
          <t>#MTNCI #Abidjan #Babi #GalereDeLaSemaine</t>
        </is>
      </c>
      <c r="M4" s="8" t="inlineStr">
        <is>
          <t>Commenter</t>
        </is>
      </c>
      <c r="N4" s="9">
        <f>IMAGE("https://raw.githubusercontent.com/leslita06/fatima-unifood-fictif/b5fd701c6db624727d051dd33d2b7333b9559042/mtn-calendrier/d1_vert.jpg")</f>
        <v/>
      </c>
      <c r="O4" s="8" t="inlineStr">
        <is>
          <t>https://raw.githubusercontent.com/leslita06/fatima-unifood-fictif/b5fd701c6db624727d051dd33d2b7333b9559042/mtn-calendrier/d1_vert.jpg</t>
        </is>
      </c>
      <c r="P4" s="8" t="inlineStr">
        <is>
          <t>Photo de rue embouteillée, bandeau jaune MTN, titre en gros, logo en haut. Carrousel : 1 couverture + 3 situations (une par visuel) + 1 visuel « Vote en commentaire ».</t>
        </is>
      </c>
      <c r="Q4" s="8" t="inlineStr">
        <is>
          <t>Pexels, TUBARONES PHOTOGRAPHY (photo n° 16332790)</t>
        </is>
      </c>
      <c r="R4" s="10" t="inlineStr">
        <is>
          <t>À valider</t>
        </is>
      </c>
    </row>
    <row r="5" ht="170" customHeight="1">
      <c r="A5" s="4" t="inlineStr">
        <is>
          <t>Mardi</t>
        </is>
      </c>
      <c r="B5" s="5" t="inlineStr">
        <is>
          <t>27/10/2026</t>
        </is>
      </c>
      <c r="C5" s="5" t="inlineStr">
        <is>
          <t>12:00</t>
        </is>
      </c>
      <c r="D5" s="4" t="inlineStr">
        <is>
          <t>TikTok</t>
        </is>
      </c>
      <c r="E5" s="5" t="inlineStr">
        <is>
          <t>Vidéo verticale, 15 à 25 s, à reprendre en duo</t>
        </is>
      </c>
      <c r="F5" s="5" t="inlineStr">
        <is>
          <t>1080 × 1920 px (9:16)</t>
        </is>
      </c>
      <c r="G5" s="5" t="inlineStr">
        <is>
          <t>Humour et famille</t>
        </is>
      </c>
      <c r="H5" s="5" t="inlineStr">
        <is>
          <t>Engagement (TOFU)</t>
        </is>
      </c>
      <c r="I5" s="5" t="inlineStr">
        <is>
          <t>Ta maman t'a déjà envoyé ça ?</t>
        </is>
      </c>
      <c r="J5" s="5" t="inlineStr">
        <is>
          <t>« C'est rien »… mais c'est jamais rien 😅</t>
        </is>
      </c>
      <c r="K5" s="5" t="inlineStr">
        <is>
          <t>« Rappelle-moi. C'est rien. »
On sait tous que c'est jamais rien 😅
Fais un duo et traduis-nous ce que ta maman veut vraiment dire.</t>
        </is>
      </c>
      <c r="L5" s="5" t="inlineStr">
        <is>
          <t>#MTNCI #Maman #Abidjan #Duo</t>
        </is>
      </c>
      <c r="M5" s="5" t="inlineStr">
        <is>
          <t>Faire un duo</t>
        </is>
      </c>
      <c r="N5" s="6">
        <f>IMAGE("https://raw.githubusercontent.com/leslita06/fatima-unifood-fictif/b5fd701c6db624727d051dd33d2b7333b9559042/mtn-calendrier/d2_vert.jpg")</f>
        <v/>
      </c>
      <c r="O5" s="5" t="inlineStr">
        <is>
          <t>https://raw.githubusercontent.com/leslita06/fatima-unifood-fictif/b5fd701c6db624727d051dd33d2b7333b9559042/mtn-calendrier/d2_vert.jpg</t>
        </is>
      </c>
      <c r="P5" s="5" t="inlineStr">
        <is>
          <t>Jeune femme qui rit devant son téléphone, bulle de message « Rappelle-moi. C'est rien. » en surimpression, bandeau jaune.</t>
        </is>
      </c>
      <c r="Q5" s="5" t="inlineStr">
        <is>
          <t>Pexels, Smooth Models (photo n° 40027137)</t>
        </is>
      </c>
      <c r="R5" s="10" t="inlineStr">
        <is>
          <t>À valider</t>
        </is>
      </c>
    </row>
    <row r="6" ht="170" customHeight="1">
      <c r="A6" s="4" t="inlineStr">
        <is>
          <t>Mardi</t>
        </is>
      </c>
      <c r="B6" s="5" t="inlineStr">
        <is>
          <t>27/10/2026</t>
        </is>
      </c>
      <c r="C6" s="5" t="inlineStr">
        <is>
          <t>18:00</t>
        </is>
      </c>
      <c r="D6" s="4" t="inlineStr">
        <is>
          <t>Instagram</t>
        </is>
      </c>
      <c r="E6" s="5" t="inlineStr">
        <is>
          <t>Reel</t>
        </is>
      </c>
      <c r="F6" s="5" t="inlineStr">
        <is>
          <t>1080 × 1920 px (9:16)</t>
        </is>
      </c>
      <c r="G6" s="5" t="inlineStr">
        <is>
          <t>Humour et famille</t>
        </is>
      </c>
      <c r="H6" s="5" t="inlineStr">
        <is>
          <t>Engagement (TOFU)</t>
        </is>
      </c>
      <c r="I6" s="5" t="inlineStr">
        <is>
          <t>Le message qui fait peur à tout le monde</t>
        </is>
      </c>
      <c r="J6" s="5" t="inlineStr">
        <is>
          <t>Traduction officielle demandée</t>
        </is>
      </c>
      <c r="K6" s="5" t="inlineStr">
        <is>
          <t>« Rappelle-moi. C'est rien. » 📵
On attend vos traductions en commentaire 👇
Identifie l'ami qui reçoit ça chaque semaine.</t>
        </is>
      </c>
      <c r="L6" s="5" t="inlineStr">
        <is>
          <t>#MTNCI #Maman #Abidjan #CoteDIvoire #HumourIvoirien #Babi #MamanAfricaine #VieAbidjan</t>
        </is>
      </c>
      <c r="M6" s="5" t="inlineStr">
        <is>
          <t>Commenter et identifier un ami</t>
        </is>
      </c>
      <c r="N6" s="6">
        <f>IMAGE("https://raw.githubusercontent.com/leslita06/fatima-unifood-fictif/b5fd701c6db624727d051dd33d2b7333b9559042/mtn-calendrier/d2_vert.jpg")</f>
        <v/>
      </c>
      <c r="O6" s="5" t="inlineStr">
        <is>
          <t>https://raw.githubusercontent.com/leslita06/fatima-unifood-fictif/b5fd701c6db624727d051dd33d2b7333b9559042/mtn-calendrier/d2_vert.jpg</t>
        </is>
      </c>
      <c r="P6" s="5" t="inlineStr">
        <is>
          <t>Jeune femme qui rit devant son téléphone, bulle de message « Rappelle-moi. C'est rien. » en surimpression, bandeau jaune.</t>
        </is>
      </c>
      <c r="Q6" s="5" t="inlineStr">
        <is>
          <t>Pexels, Smooth Models (photo n° 40027137)</t>
        </is>
      </c>
      <c r="R6" s="10" t="inlineStr">
        <is>
          <t>À valider</t>
        </is>
      </c>
    </row>
    <row r="7" ht="140" customHeight="1">
      <c r="A7" s="4" t="inlineStr">
        <is>
          <t>Mardi</t>
        </is>
      </c>
      <c r="B7" s="5" t="inlineStr">
        <is>
          <t>27/10/2026</t>
        </is>
      </c>
      <c r="C7" s="5" t="inlineStr">
        <is>
          <t>19:30</t>
        </is>
      </c>
      <c r="D7" s="4" t="inlineStr">
        <is>
          <t>Facebook</t>
        </is>
      </c>
      <c r="E7" s="5" t="inlineStr">
        <is>
          <t>Visuel fixe</t>
        </is>
      </c>
      <c r="F7" s="5" t="inlineStr">
        <is>
          <t>1080 × 1350 px (4:5)</t>
        </is>
      </c>
      <c r="G7" s="5" t="inlineStr">
        <is>
          <t>Humour et famille</t>
        </is>
      </c>
      <c r="H7" s="5" t="inlineStr">
        <is>
          <t>Engagement (TOFU)</t>
        </is>
      </c>
      <c r="I7" s="5" t="inlineStr">
        <is>
          <t>Ta maman t'a déjà envoyé ça ?</t>
        </is>
      </c>
      <c r="J7" s="5" t="inlineStr">
        <is>
          <t>Traduis-nous ce message</t>
        </is>
      </c>
      <c r="K7" s="5" t="inlineStr">
        <is>
          <t>« Rappelle-moi. C'est rien. »
Ta maman t'a déjà envoyé ça ? 😅
Traduis-nous ce qu'elle voulait vraiment dire, en commentaire.</t>
        </is>
      </c>
      <c r="L7" s="5" t="inlineStr">
        <is>
          <t>#MTNCI #Maman #Abidjan</t>
        </is>
      </c>
      <c r="M7" s="5" t="inlineStr">
        <is>
          <t>Commenter</t>
        </is>
      </c>
      <c r="N7" s="6">
        <f>IMAGE("https://raw.githubusercontent.com/leslita06/fatima-unifood-fictif/b5fd701c6db624727d051dd33d2b7333b9559042/mtn-calendrier/d2_feed.jpg")</f>
        <v/>
      </c>
      <c r="O7" s="5" t="inlineStr">
        <is>
          <t>https://raw.githubusercontent.com/leslita06/fatima-unifood-fictif/b5fd701c6db624727d051dd33d2b7333b9559042/mtn-calendrier/d2_feed.jpg</t>
        </is>
      </c>
      <c r="P7" s="5" t="inlineStr">
        <is>
          <t>Jeune femme qui rit devant son téléphone, bulle de message « Rappelle-moi. C'est rien. » en surimpression, bandeau jaune.</t>
        </is>
      </c>
      <c r="Q7" s="5" t="inlineStr">
        <is>
          <t>Pexels, Smooth Models (photo n° 40027137)</t>
        </is>
      </c>
      <c r="R7" s="10" t="inlineStr">
        <is>
          <t>À valider</t>
        </is>
      </c>
    </row>
    <row r="8" ht="170" customHeight="1">
      <c r="A8" s="7" t="inlineStr">
        <is>
          <t>Mercredi</t>
        </is>
      </c>
      <c r="B8" s="8" t="inlineStr">
        <is>
          <t>28/10/2026</t>
        </is>
      </c>
      <c r="C8" s="8" t="inlineStr">
        <is>
          <t>13:00</t>
        </is>
      </c>
      <c r="D8" s="7" t="inlineStr">
        <is>
          <t>TikTok</t>
        </is>
      </c>
      <c r="E8" s="8" t="inlineStr">
        <is>
          <t>Micro-trottoir, 30 à 45 s</t>
        </is>
      </c>
      <c r="F8" s="8" t="inlineStr">
        <is>
          <t>1080 × 1920 px (9:16)</t>
        </is>
      </c>
      <c r="G8" s="8" t="inlineStr">
        <is>
          <t>Défis et participation</t>
        </is>
      </c>
      <c r="H8" s="8" t="inlineStr">
        <is>
          <t>Engagement (TOFU)</t>
        </is>
      </c>
      <c r="I8" s="8" t="inlineStr">
        <is>
          <t>Explique « réseau » sans dire le mot</t>
        </is>
      </c>
      <c r="J8" s="8" t="inlineStr">
        <is>
          <t>Le nouchi est autorisé 😂</t>
        </is>
      </c>
      <c r="K8" s="8" t="inlineStr">
        <is>
          <t>On a demandé aux jeunes de Cocody, Yop et Treichville d'expliquer « crédit », « réseau » et « MoMo » sans dire le mot. Le nouchi était autorisé 😂
À toi : explique « forfait » sans le dire.</t>
        </is>
      </c>
      <c r="L8" s="8" t="inlineStr">
        <is>
          <t>#MTNCI #Abidjan #Defi #Nouchi</t>
        </is>
      </c>
      <c r="M8" s="8" t="inlineStr">
        <is>
          <t>Refaire le défi en vidéo</t>
        </is>
      </c>
      <c r="N8" s="9">
        <f>IMAGE("https://raw.githubusercontent.com/leslita06/fatima-unifood-fictif/b5fd701c6db624727d051dd33d2b7333b9559042/mtn-calendrier/d3_vert.jpg")</f>
        <v/>
      </c>
      <c r="O8" s="8" t="inlineStr">
        <is>
          <t>https://raw.githubusercontent.com/leslita06/fatima-unifood-fictif/b5fd701c6db624727d051dd33d2b7333b9559042/mtn-calendrier/d3_vert.jpg</t>
        </is>
      </c>
      <c r="P8" s="8" t="inlineStr">
        <is>
          <t>Micro-trottoir tourné à Cocody, Yopougon, Treichville. Couverture : jeunes dans la rue, mot interdit barré en jaune.</t>
        </is>
      </c>
      <c r="Q8" s="8" t="inlineStr">
        <is>
          <t>Pexels, Sadock Kaisi (photo n° 9287491)</t>
        </is>
      </c>
      <c r="R8" s="10" t="inlineStr">
        <is>
          <t>À valider</t>
        </is>
      </c>
    </row>
    <row r="9" ht="170" customHeight="1">
      <c r="A9" s="7" t="inlineStr">
        <is>
          <t>Mercredi</t>
        </is>
      </c>
      <c r="B9" s="8" t="inlineStr">
        <is>
          <t>28/10/2026</t>
        </is>
      </c>
      <c r="C9" s="8" t="inlineStr">
        <is>
          <t>18:30</t>
        </is>
      </c>
      <c r="D9" s="7" t="inlineStr">
        <is>
          <t>Instagram</t>
        </is>
      </c>
      <c r="E9" s="8" t="inlineStr">
        <is>
          <t>Reel</t>
        </is>
      </c>
      <c r="F9" s="8" t="inlineStr">
        <is>
          <t>1080 × 1920 px (9:16)</t>
        </is>
      </c>
      <c r="G9" s="8" t="inlineStr">
        <is>
          <t>Défis et participation</t>
        </is>
      </c>
      <c r="H9" s="8" t="inlineStr">
        <is>
          <t>Engagement (TOFU)</t>
        </is>
      </c>
      <c r="I9" s="8" t="inlineStr">
        <is>
          <t>Explique sans dire le mot</t>
        </is>
      </c>
      <c r="J9" s="8" t="inlineStr">
        <is>
          <t>Qui a gagné ? Vote en commentaire</t>
        </is>
      </c>
      <c r="K9" s="8" t="inlineStr">
        <is>
          <t>Le défi de la rue : expliquer « crédit », « réseau » et « MoMo » sans prononcer le mot 😂
Qui a le mieux expliqué ? Dis-le en commentaire.</t>
        </is>
      </c>
      <c r="L9" s="8" t="inlineStr">
        <is>
          <t>#MTNCI #Abidjan #Defi #CoteDIvoire #MicroTrottoir #Babi #Yop #Cocody #Treichville</t>
        </is>
      </c>
      <c r="M9" s="8" t="inlineStr">
        <is>
          <t>Commenter</t>
        </is>
      </c>
      <c r="N9" s="9">
        <f>IMAGE("https://raw.githubusercontent.com/leslita06/fatima-unifood-fictif/b5fd701c6db624727d051dd33d2b7333b9559042/mtn-calendrier/d3_vert.jpg")</f>
        <v/>
      </c>
      <c r="O9" s="8" t="inlineStr">
        <is>
          <t>https://raw.githubusercontent.com/leslita06/fatima-unifood-fictif/b5fd701c6db624727d051dd33d2b7333b9559042/mtn-calendrier/d3_vert.jpg</t>
        </is>
      </c>
      <c r="P9" s="8" t="inlineStr">
        <is>
          <t>Micro-trottoir tourné à Cocody, Yopougon, Treichville. Couverture : jeunes dans la rue, mot interdit barré en jaune.</t>
        </is>
      </c>
      <c r="Q9" s="8" t="inlineStr">
        <is>
          <t>Pexels, Sadock Kaisi (photo n° 9287491)</t>
        </is>
      </c>
      <c r="R9" s="10" t="inlineStr">
        <is>
          <t>À valider</t>
        </is>
      </c>
    </row>
    <row r="10" ht="140" customHeight="1">
      <c r="A10" s="7" t="inlineStr">
        <is>
          <t>Mercredi</t>
        </is>
      </c>
      <c r="B10" s="8" t="inlineStr">
        <is>
          <t>28/10/2026</t>
        </is>
      </c>
      <c r="C10" s="8" t="inlineStr">
        <is>
          <t>20:00</t>
        </is>
      </c>
      <c r="D10" s="7" t="inlineStr">
        <is>
          <t>Facebook</t>
        </is>
      </c>
      <c r="E10" s="8" t="inlineStr">
        <is>
          <t>Vidéo</t>
        </is>
      </c>
      <c r="F10" s="8" t="inlineStr">
        <is>
          <t>1080 × 1350 px (4:5)</t>
        </is>
      </c>
      <c r="G10" s="8" t="inlineStr">
        <is>
          <t>Défis et participation</t>
        </is>
      </c>
      <c r="H10" s="8" t="inlineStr">
        <is>
          <t>Engagement (TOFU)</t>
        </is>
      </c>
      <c r="I10" s="8" t="inlineStr">
        <is>
          <t>Ils devaient expliquer « réseau » sans le dire…</t>
        </is>
      </c>
      <c r="J10" s="8" t="inlineStr">
        <is>
          <t>Le défi de la rue</t>
        </is>
      </c>
      <c r="K10" s="8" t="inlineStr">
        <is>
          <t>Ils devaient expliquer « réseau » sans dire le mot… Le résultat 😂
À ton tour : explique « forfait » sans le dire, en commentaire.</t>
        </is>
      </c>
      <c r="L10" s="8" t="inlineStr">
        <is>
          <t>#MTNCI #Abidjan #Defi</t>
        </is>
      </c>
      <c r="M10" s="8" t="inlineStr">
        <is>
          <t>Commenter</t>
        </is>
      </c>
      <c r="N10" s="9">
        <f>IMAGE("https://raw.githubusercontent.com/leslita06/fatima-unifood-fictif/b5fd701c6db624727d051dd33d2b7333b9559042/mtn-calendrier/d3_feed.jpg")</f>
        <v/>
      </c>
      <c r="O10" s="8" t="inlineStr">
        <is>
          <t>https://raw.githubusercontent.com/leslita06/fatima-unifood-fictif/b5fd701c6db624727d051dd33d2b7333b9559042/mtn-calendrier/d3_feed.jpg</t>
        </is>
      </c>
      <c r="P10" s="8" t="inlineStr">
        <is>
          <t>Micro-trottoir tourné à Cocody, Yopougon, Treichville. Couverture : jeunes dans la rue, mot interdit barré en jaune.</t>
        </is>
      </c>
      <c r="Q10" s="8" t="inlineStr">
        <is>
          <t>Pexels, Sadock Kaisi (photo n° 9287491)</t>
        </is>
      </c>
      <c r="R10" s="10" t="inlineStr">
        <is>
          <t>À valider</t>
        </is>
      </c>
    </row>
    <row r="11" ht="140" customHeight="1">
      <c r="A11" s="4" t="inlineStr">
        <is>
          <t>Jeudi</t>
        </is>
      </c>
      <c r="B11" s="5" t="inlineStr">
        <is>
          <t>29/10/2026</t>
        </is>
      </c>
      <c r="C11" s="5" t="inlineStr">
        <is>
          <t>12:30</t>
        </is>
      </c>
      <c r="D11" s="4" t="inlineStr">
        <is>
          <t>Facebook</t>
        </is>
      </c>
      <c r="E11" s="5" t="inlineStr">
        <is>
          <t>Visuel fixe</t>
        </is>
      </c>
      <c r="F11" s="5" t="inlineStr">
        <is>
          <t>1080 × 1350 px (4:5)</t>
        </is>
      </c>
      <c r="G11" s="5" t="inlineStr">
        <is>
          <t>Fierté des quartiers</t>
        </is>
      </c>
      <c r="H11" s="5" t="inlineStr">
        <is>
          <t>Engagement (TOFU)</t>
        </is>
      </c>
      <c r="I11" s="5" t="inlineStr">
        <is>
          <t>Yop, ton super-pouvoir c'est l'enjaillement 🔥</t>
        </is>
      </c>
      <c r="J11" s="5" t="inlineStr">
        <is>
          <t>Chaque commune a son pouvoir</t>
        </is>
      </c>
      <c r="K11" s="5" t="inlineStr">
        <is>
          <t>Épisode 1 : Yopougon 🔥
Son super-pouvoir ? L'enjaillement.
Et ta commune, c'est quoi son pouvoir ? Défends-la en commentaire. La plus citée aura son épisode.</t>
        </is>
      </c>
      <c r="L11" s="5" t="inlineStr">
        <is>
          <t>#MTNCI #Yopougon #Abidjan</t>
        </is>
      </c>
      <c r="M11" s="5" t="inlineStr">
        <is>
          <t>Commenter avec sa commune</t>
        </is>
      </c>
      <c r="N11" s="6">
        <f>IMAGE("https://raw.githubusercontent.com/leslita06/fatima-unifood-fictif/b5fd701c6db624727d051dd33d2b7333b9559042/mtn-calendrier/d4_feed.jpg")</f>
        <v/>
      </c>
      <c r="O11" s="5" t="inlineStr">
        <is>
          <t>https://raw.githubusercontent.com/leslita06/fatima-unifood-fictif/b5fd701c6db624727d051dd33d2b7333b9559042/mtn-calendrier/d4_feed.jpg</t>
        </is>
      </c>
      <c r="P11" s="5" t="inlineStr">
        <is>
          <t>Trois amis qui rient, titre « Yop : le pouvoir de l'enjaillement », pastille jaune « Épisode 1 ».</t>
        </is>
      </c>
      <c r="Q11" s="5" t="inlineStr">
        <is>
          <t>Pexels, MD Photography (photo n° 31750678)</t>
        </is>
      </c>
      <c r="R11" s="10" t="inlineStr">
        <is>
          <t>À valider</t>
        </is>
      </c>
    </row>
    <row r="12" ht="170" customHeight="1">
      <c r="A12" s="4" t="inlineStr">
        <is>
          <t>Jeudi</t>
        </is>
      </c>
      <c r="B12" s="5" t="inlineStr">
        <is>
          <t>29/10/2026</t>
        </is>
      </c>
      <c r="C12" s="5" t="inlineStr">
        <is>
          <t>18:00</t>
        </is>
      </c>
      <c r="D12" s="4" t="inlineStr">
        <is>
          <t>TikTok</t>
        </is>
      </c>
      <c r="E12" s="5" t="inlineStr">
        <is>
          <t>Vidéo verticale, 20 à 30 s</t>
        </is>
      </c>
      <c r="F12" s="5" t="inlineStr">
        <is>
          <t>1080 × 1920 px (9:16)</t>
        </is>
      </c>
      <c r="G12" s="5" t="inlineStr">
        <is>
          <t>Fierté des quartiers</t>
        </is>
      </c>
      <c r="H12" s="5" t="inlineStr">
        <is>
          <t>Engagement (TOFU)</t>
        </is>
      </c>
      <c r="I12" s="5" t="inlineStr">
        <is>
          <t>Yop a un super-pouvoir et c'est pas ce que tu crois</t>
        </is>
      </c>
      <c r="J12" s="5" t="inlineStr">
        <is>
          <t>Épisode 1 : Yopougon</t>
        </is>
      </c>
      <c r="K12" s="5" t="inlineStr">
        <is>
          <t>Ta commune, ton super-pouvoir. Épisode 1 : Yop 🔥
Ta commune veut son épisode ? Écris son nom en commentaire.</t>
        </is>
      </c>
      <c r="L12" s="5" t="inlineStr">
        <is>
          <t>#MTNCI #Yopougon #Abidjan #Babi</t>
        </is>
      </c>
      <c r="M12" s="5" t="inlineStr">
        <is>
          <t>Commenter avec sa commune</t>
        </is>
      </c>
      <c r="N12" s="6">
        <f>IMAGE("https://raw.githubusercontent.com/leslita06/fatima-unifood-fictif/b5fd701c6db624727d051dd33d2b7333b9559042/mtn-calendrier/d4_vert.jpg")</f>
        <v/>
      </c>
      <c r="O12" s="5" t="inlineStr">
        <is>
          <t>https://raw.githubusercontent.com/leslita06/fatima-unifood-fictif/b5fd701c6db624727d051dd33d2b7333b9559042/mtn-calendrier/d4_vert.jpg</t>
        </is>
      </c>
      <c r="P12" s="5" t="inlineStr">
        <is>
          <t>Trois amis qui rient, titre « Yop : le pouvoir de l'enjaillement », pastille jaune « Épisode 1 ».</t>
        </is>
      </c>
      <c r="Q12" s="5" t="inlineStr">
        <is>
          <t>Pexels, MD Photography (photo n° 31750678)</t>
        </is>
      </c>
      <c r="R12" s="10" t="inlineStr">
        <is>
          <t>À valider</t>
        </is>
      </c>
    </row>
    <row r="13" ht="140" customHeight="1">
      <c r="A13" s="4" t="inlineStr">
        <is>
          <t>Jeudi</t>
        </is>
      </c>
      <c r="B13" s="5" t="inlineStr">
        <is>
          <t>29/10/2026</t>
        </is>
      </c>
      <c r="C13" s="5" t="inlineStr">
        <is>
          <t>19:00</t>
        </is>
      </c>
      <c r="D13" s="4" t="inlineStr">
        <is>
          <t>Instagram</t>
        </is>
      </c>
      <c r="E13" s="5" t="inlineStr">
        <is>
          <t>Carrousel (4 visuels)</t>
        </is>
      </c>
      <c r="F13" s="5" t="inlineStr">
        <is>
          <t>1080 × 1350 px (4:5)</t>
        </is>
      </c>
      <c r="G13" s="5" t="inlineStr">
        <is>
          <t>Fierté des quartiers</t>
        </is>
      </c>
      <c r="H13" s="5" t="inlineStr">
        <is>
          <t>Engagement (TOFU)</t>
        </is>
      </c>
      <c r="I13" s="5" t="inlineStr">
        <is>
          <t>Épisode 1 : Yopougon 🔥</t>
        </is>
      </c>
      <c r="J13" s="5" t="inlineStr">
        <is>
          <t>Ta commune, ton super-pouvoir</t>
        </is>
      </c>
      <c r="K13" s="5" t="inlineStr">
        <is>
          <t>Ta commune, ton super-pouvoir.
Épisode 1 : Yopougon, le pouvoir de l'enjaillement 🔥
Quelle commune pour l'épisode 2 ? Dis-le en commentaire 👇</t>
        </is>
      </c>
      <c r="L13" s="5" t="inlineStr">
        <is>
          <t>#MTNCI #Yopougon #Abidjan #CoteDIvoire #Babi #Yop #CommunesDAbidjan #VieAbidjan #FierteIvoirienne</t>
        </is>
      </c>
      <c r="M13" s="5" t="inlineStr">
        <is>
          <t>Commenter la prochaine commune</t>
        </is>
      </c>
      <c r="N13" s="6">
        <f>IMAGE("https://raw.githubusercontent.com/leslita06/fatima-unifood-fictif/b5fd701c6db624727d051dd33d2b7333b9559042/mtn-calendrier/d4_feed.jpg")</f>
        <v/>
      </c>
      <c r="O13" s="5" t="inlineStr">
        <is>
          <t>https://raw.githubusercontent.com/leslita06/fatima-unifood-fictif/b5fd701c6db624727d051dd33d2b7333b9559042/mtn-calendrier/d4_feed.jpg</t>
        </is>
      </c>
      <c r="P13" s="5" t="inlineStr">
        <is>
          <t>Trois amis qui rient, titre « Yop : le pouvoir de l'enjaillement », pastille jaune « Épisode 1 ».</t>
        </is>
      </c>
      <c r="Q13" s="5" t="inlineStr">
        <is>
          <t>Pexels, MD Photography (photo n° 31750678)</t>
        </is>
      </c>
      <c r="R13" s="10" t="inlineStr">
        <is>
          <t>À valider</t>
        </is>
      </c>
    </row>
    <row r="14" ht="170" customHeight="1">
      <c r="A14" s="7" t="inlineStr">
        <is>
          <t>Vendredi</t>
        </is>
      </c>
      <c r="B14" s="8" t="inlineStr">
        <is>
          <t>30/10/2026</t>
        </is>
      </c>
      <c r="C14" s="8" t="inlineStr">
        <is>
          <t>12:00</t>
        </is>
      </c>
      <c r="D14" s="7" t="inlineStr">
        <is>
          <t>TikTok</t>
        </is>
      </c>
      <c r="E14" s="8" t="inlineStr">
        <is>
          <t>Sketch, 30 à 45 s</t>
        </is>
      </c>
      <c r="F14" s="8" t="inlineStr">
        <is>
          <t>1080 × 1920 px (9:16)</t>
        </is>
      </c>
      <c r="G14" s="8" t="inlineStr">
        <is>
          <t>Argent du quotidien (MoMo)</t>
        </is>
      </c>
      <c r="H14" s="8" t="inlineStr">
        <is>
          <t>Considération (MOFU)</t>
        </is>
      </c>
      <c r="I14" s="8" t="inlineStr">
        <is>
          <t>Le 25 vs le 5 du mois</t>
        </is>
      </c>
      <c r="J14" s="8" t="inlineStr">
        <is>
          <t>Toi tu es en mode 25 ou en mode 5 ?</t>
        </is>
      </c>
      <c r="K14" s="8" t="inlineStr">
        <is>
          <t>Le 25 : roi du maquis 👑
Le 5 : « On dit quoi ? Je suis un peu serré… »
Toi tu es en mode 25 ou en mode 5 aujourd'hui ?</t>
        </is>
      </c>
      <c r="L14" s="8" t="inlineStr">
        <is>
          <t>#MTNCI #MoMo #FinDuMois #Abidjan</t>
        </is>
      </c>
      <c r="M14" s="8" t="inlineStr">
        <is>
          <t>Commenter 25 ou 5</t>
        </is>
      </c>
      <c r="N14" s="9">
        <f>IMAGE("https://raw.githubusercontent.com/leslita06/fatima-unifood-fictif/b5fd701c6db624727d051dd33d2b7333b9559042/mtn-calendrier/d5_vert.jpg")</f>
        <v/>
      </c>
      <c r="O14" s="8" t="inlineStr">
        <is>
          <t>https://raw.githubusercontent.com/leslita06/fatima-unifood-fictif/b5fd701c6db624727d051dd33d2b7333b9559042/mtn-calendrier/d5_vert.jpg</t>
        </is>
      </c>
      <c r="P14" s="8" t="inlineStr">
        <is>
          <t>Écran partagé : à gauche « Le 25 » (repas entre amis), à droite « Le 5 » (le même, portefeuille vide). Fin de vidéo : envoi d'argent par MoMo.</t>
        </is>
      </c>
      <c r="Q14" s="8" t="inlineStr">
        <is>
          <t>Pexels, Ketut Subiyanto (photo n° 4350294)</t>
        </is>
      </c>
      <c r="R14" s="10" t="inlineStr">
        <is>
          <t>À valider</t>
        </is>
      </c>
    </row>
    <row r="15" ht="140" customHeight="1">
      <c r="A15" s="7" t="inlineStr">
        <is>
          <t>Vendredi</t>
        </is>
      </c>
      <c r="B15" s="8" t="inlineStr">
        <is>
          <t>30/10/2026</t>
        </is>
      </c>
      <c r="C15" s="8" t="inlineStr">
        <is>
          <t>18:00</t>
        </is>
      </c>
      <c r="D15" s="7" t="inlineStr">
        <is>
          <t>Facebook</t>
        </is>
      </c>
      <c r="E15" s="8" t="inlineStr">
        <is>
          <t>Vidéo</t>
        </is>
      </c>
      <c r="F15" s="8" t="inlineStr">
        <is>
          <t>1080 × 1350 px (4:5)</t>
        </is>
      </c>
      <c r="G15" s="8" t="inlineStr">
        <is>
          <t>Argent du quotidien (MoMo)</t>
        </is>
      </c>
      <c r="H15" s="8" t="inlineStr">
        <is>
          <t>Considération (MOFU)</t>
        </is>
      </c>
      <c r="I15" s="8" t="inlineStr">
        <is>
          <t>Le 25 tu es roi. Le 5 tu cherches tes amis 😅</t>
        </is>
      </c>
      <c r="J15" s="8" t="inlineStr">
        <is>
          <t>Mode 25 ou mode 5 ?</t>
        </is>
      </c>
      <c r="K15" s="8" t="inlineStr">
        <is>
          <t>Le 25, tu paies pour tout le monde.
Le 5, tu cherches tes amis 😅
Identifie l'ami qui change de mode chaque mois.</t>
        </is>
      </c>
      <c r="L15" s="8" t="inlineStr">
        <is>
          <t>#MTNCI #MoMo #FinDuMois</t>
        </is>
      </c>
      <c r="M15" s="8" t="inlineStr">
        <is>
          <t>Identifier un ami</t>
        </is>
      </c>
      <c r="N15" s="9">
        <f>IMAGE("https://raw.githubusercontent.com/leslita06/fatima-unifood-fictif/b5fd701c6db624727d051dd33d2b7333b9559042/mtn-calendrier/d5_feed.jpg")</f>
        <v/>
      </c>
      <c r="O15" s="8" t="inlineStr">
        <is>
          <t>https://raw.githubusercontent.com/leslita06/fatima-unifood-fictif/b5fd701c6db624727d051dd33d2b7333b9559042/mtn-calendrier/d5_feed.jpg</t>
        </is>
      </c>
      <c r="P15" s="8" t="inlineStr">
        <is>
          <t>Écran partagé : à gauche « Le 25 » (repas entre amis), à droite « Le 5 » (le même, portefeuille vide). Fin de vidéo : envoi d'argent par MoMo.</t>
        </is>
      </c>
      <c r="Q15" s="8" t="inlineStr">
        <is>
          <t>Pexels, Ketut Subiyanto (photo n° 4350294)</t>
        </is>
      </c>
      <c r="R15" s="10" t="inlineStr">
        <is>
          <t>À valider</t>
        </is>
      </c>
    </row>
    <row r="16" ht="170" customHeight="1">
      <c r="A16" s="7" t="inlineStr">
        <is>
          <t>Vendredi</t>
        </is>
      </c>
      <c r="B16" s="8" t="inlineStr">
        <is>
          <t>30/10/2026</t>
        </is>
      </c>
      <c r="C16" s="8" t="inlineStr">
        <is>
          <t>19:30</t>
        </is>
      </c>
      <c r="D16" s="7" t="inlineStr">
        <is>
          <t>Instagram</t>
        </is>
      </c>
      <c r="E16" s="8" t="inlineStr">
        <is>
          <t>Reel</t>
        </is>
      </c>
      <c r="F16" s="8" t="inlineStr">
        <is>
          <t>1080 × 1920 px (9:16)</t>
        </is>
      </c>
      <c r="G16" s="8" t="inlineStr">
        <is>
          <t>Argent du quotidien (MoMo)</t>
        </is>
      </c>
      <c r="H16" s="8" t="inlineStr">
        <is>
          <t>Considération (MOFU)</t>
        </is>
      </c>
      <c r="I16" s="8" t="inlineStr">
        <is>
          <t>Mode 25 ou mode 5 ?</t>
        </is>
      </c>
      <c r="J16" s="8" t="inlineStr">
        <is>
          <t>Tout le monde connaît le 5 du mois</t>
        </is>
      </c>
      <c r="K16" s="8" t="inlineStr">
        <is>
          <t>Mode 25 👑 ou mode 5 🫠 ?
Réponds en commentaire, on ne juge pas.</t>
        </is>
      </c>
      <c r="L16" s="8" t="inlineStr">
        <is>
          <t>#MTNCI #MoMo #FinDuMois #Abidjan #CoteDIvoire #HumourIvoirien #Babi #VieAbidjan</t>
        </is>
      </c>
      <c r="M16" s="8" t="inlineStr">
        <is>
          <t>Commenter 25 ou 5</t>
        </is>
      </c>
      <c r="N16" s="9">
        <f>IMAGE("https://raw.githubusercontent.com/leslita06/fatima-unifood-fictif/b5fd701c6db624727d051dd33d2b7333b9559042/mtn-calendrier/d5_vert.jpg")</f>
        <v/>
      </c>
      <c r="O16" s="8" t="inlineStr">
        <is>
          <t>https://raw.githubusercontent.com/leslita06/fatima-unifood-fictif/b5fd701c6db624727d051dd33d2b7333b9559042/mtn-calendrier/d5_vert.jpg</t>
        </is>
      </c>
      <c r="P16" s="8" t="inlineStr">
        <is>
          <t>Écran partagé : à gauche « Le 25 » (repas entre amis), à droite « Le 5 » (le même, portefeuille vide). Fin de vidéo : envoi d'argent par MoMo.</t>
        </is>
      </c>
      <c r="Q16" s="8" t="inlineStr">
        <is>
          <t>Pexels, Ketut Subiyanto (photo n° 4350294)</t>
        </is>
      </c>
      <c r="R16" s="10" t="inlineStr">
        <is>
          <t>À valider</t>
        </is>
      </c>
    </row>
    <row r="17" ht="140" customHeight="1">
      <c r="A17" s="4" t="inlineStr">
        <is>
          <t>Samedi</t>
        </is>
      </c>
      <c r="B17" s="5" t="inlineStr">
        <is>
          <t>31/10/2026</t>
        </is>
      </c>
      <c r="C17" s="5" t="inlineStr">
        <is>
          <t>11:00</t>
        </is>
      </c>
      <c r="D17" s="4" t="inlineStr">
        <is>
          <t>Facebook</t>
        </is>
      </c>
      <c r="E17" s="5" t="inlineStr">
        <is>
          <t>Visuel fixe</t>
        </is>
      </c>
      <c r="F17" s="5" t="inlineStr">
        <is>
          <t>1080 × 1350 px (4:5)</t>
        </is>
      </c>
      <c r="G17" s="5" t="inlineStr">
        <is>
          <t>Vie à Abidjan</t>
        </is>
      </c>
      <c r="H17" s="5" t="inlineStr">
        <is>
          <t>Engagement (TOFU)</t>
        </is>
      </c>
      <c r="I17" s="5" t="inlineStr">
        <is>
          <t>Le verdict est tombé 🏆</t>
        </is>
      </c>
      <c r="J17" s="5" t="inlineStr">
        <is>
          <t>La pire galère de la semaine est…</t>
        </is>
      </c>
      <c r="K17" s="5" t="inlineStr">
        <is>
          <t>Le verdict est tombé 🏆
Vous avez voté, la pire galère de la semaine est… [situation gagnante].
Merci pour vos commentaires. Lundi, nouvelles galères, nouveau vote.</t>
        </is>
      </c>
      <c r="L17" s="5" t="inlineStr">
        <is>
          <t>#MTNCI #GalereDeLaSemaine</t>
        </is>
      </c>
      <c r="M17" s="5" t="inlineStr">
        <is>
          <t>Revenir voter lundi</t>
        </is>
      </c>
      <c r="N17" s="6">
        <f>IMAGE("https://raw.githubusercontent.com/leslita06/fatima-unifood-fictif/b5fd701c6db624727d051dd33d2b7333b9559042/mtn-calendrier/d6_feed.jpg")</f>
        <v/>
      </c>
      <c r="O17" s="5" t="inlineStr">
        <is>
          <t>https://raw.githubusercontent.com/leslita06/fatima-unifood-fictif/b5fd701c6db624727d051dd33d2b7333b9559042/mtn-calendrier/d6_feed.jpg</t>
        </is>
      </c>
      <c r="P17" s="5" t="inlineStr">
        <is>
          <t>Jeune homme qui rit devant son téléphone, tampon jaune « VERDICT », la situation gagnante écrite en gros.</t>
        </is>
      </c>
      <c r="Q17" s="5" t="inlineStr">
        <is>
          <t>Pexels, REAFON GATES (photo n° 1498332)</t>
        </is>
      </c>
      <c r="R17" s="10" t="inlineStr">
        <is>
          <t>À valider</t>
        </is>
      </c>
    </row>
    <row r="18" ht="170" customHeight="1">
      <c r="A18" s="4" t="inlineStr">
        <is>
          <t>Samedi</t>
        </is>
      </c>
      <c r="B18" s="5" t="inlineStr">
        <is>
          <t>31/10/2026</t>
        </is>
      </c>
      <c r="C18" s="5" t="inlineStr">
        <is>
          <t>15:00</t>
        </is>
      </c>
      <c r="D18" s="4" t="inlineStr">
        <is>
          <t>Instagram</t>
        </is>
      </c>
      <c r="E18" s="5" t="inlineStr">
        <is>
          <t>Story avec sondage</t>
        </is>
      </c>
      <c r="F18" s="5" t="inlineStr">
        <is>
          <t>1080 × 1920 px (9:16)</t>
        </is>
      </c>
      <c r="G18" s="5" t="inlineStr">
        <is>
          <t>Vie à Abidjan</t>
        </is>
      </c>
      <c r="H18" s="5" t="inlineStr">
        <is>
          <t>Engagement (TOFU)</t>
        </is>
      </c>
      <c r="I18" s="5" t="inlineStr">
        <is>
          <t>Samedi : on sort ou on reste ?</t>
        </is>
      </c>
      <c r="J18" s="5" t="inlineStr">
        <is>
          <t>Ton plan du samedi ?</t>
        </is>
      </c>
      <c r="K18" s="5" t="inlineStr">
        <is>
          <t>Story 1 : le verdict de la semaine.
Story 2 : sondage « Ce samedi, tu sors ou tu restes ? » (Je sors / Je reste).</t>
        </is>
      </c>
      <c r="L18" s="5" t="inlineStr">
        <is>
          <t>—</t>
        </is>
      </c>
      <c r="M18" s="5" t="inlineStr">
        <is>
          <t>Répondre au sondage</t>
        </is>
      </c>
      <c r="N18" s="6">
        <f>IMAGE("https://raw.githubusercontent.com/leslita06/fatima-unifood-fictif/b5fd701c6db624727d051dd33d2b7333b9559042/mtn-calendrier/d6_vert.jpg")</f>
        <v/>
      </c>
      <c r="O18" s="5" t="inlineStr">
        <is>
          <t>https://raw.githubusercontent.com/leslita06/fatima-unifood-fictif/b5fd701c6db624727d051dd33d2b7333b9559042/mtn-calendrier/d6_vert.jpg</t>
        </is>
      </c>
      <c r="P18" s="5" t="inlineStr">
        <is>
          <t>Jeune homme qui rit devant son téléphone, tampon jaune « VERDICT », la situation gagnante écrite en gros.</t>
        </is>
      </c>
      <c r="Q18" s="5" t="inlineStr">
        <is>
          <t>Pexels, REAFON GATES (photo n° 1498332)</t>
        </is>
      </c>
      <c r="R18" s="10" t="inlineStr">
        <is>
          <t>À valider</t>
        </is>
      </c>
    </row>
    <row r="19" ht="170" customHeight="1">
      <c r="A19" s="4" t="inlineStr">
        <is>
          <t>Samedi</t>
        </is>
      </c>
      <c r="B19" s="5" t="inlineStr">
        <is>
          <t>31/10/2026</t>
        </is>
      </c>
      <c r="C19" s="5" t="inlineStr">
        <is>
          <t>19:00</t>
        </is>
      </c>
      <c r="D19" s="4" t="inlineStr">
        <is>
          <t>TikTok</t>
        </is>
      </c>
      <c r="E19" s="5" t="inlineStr">
        <is>
          <t>Vidéo verticale, 15 s</t>
        </is>
      </c>
      <c r="F19" s="5" t="inlineStr">
        <is>
          <t>1080 × 1920 px (9:16)</t>
        </is>
      </c>
      <c r="G19" s="5" t="inlineStr">
        <is>
          <t>Vie à Abidjan</t>
        </is>
      </c>
      <c r="H19" s="5" t="inlineStr">
        <is>
          <t>Engagement (TOFU)</t>
        </is>
      </c>
      <c r="I19" s="5" t="inlineStr">
        <is>
          <t>Le verdict de la semaine 🏆</t>
        </is>
      </c>
      <c r="J19" s="5" t="inlineStr">
        <is>
          <t>Vous avez choisi…</t>
        </is>
      </c>
      <c r="K19" s="5" t="inlineStr">
        <is>
          <t>Vous avez voté. La pire galère de la semaine est… 🥁
Tu es d'accord ? Dis-le en commentaire.</t>
        </is>
      </c>
      <c r="L19" s="5" t="inlineStr">
        <is>
          <t>#MTNCI #Abidjan #GalereDeLaSemaine</t>
        </is>
      </c>
      <c r="M19" s="5" t="inlineStr">
        <is>
          <t>Commenter</t>
        </is>
      </c>
      <c r="N19" s="6">
        <f>IMAGE("https://raw.githubusercontent.com/leslita06/fatima-unifood-fictif/b5fd701c6db624727d051dd33d2b7333b9559042/mtn-calendrier/d6_vert.jpg")</f>
        <v/>
      </c>
      <c r="O19" s="5" t="inlineStr">
        <is>
          <t>https://raw.githubusercontent.com/leslita06/fatima-unifood-fictif/b5fd701c6db624727d051dd33d2b7333b9559042/mtn-calendrier/d6_vert.jpg</t>
        </is>
      </c>
      <c r="P19" s="5" t="inlineStr">
        <is>
          <t>Jeune homme qui rit devant son téléphone, tampon jaune « VERDICT », la situation gagnante écrite en gros.</t>
        </is>
      </c>
      <c r="Q19" s="5" t="inlineStr">
        <is>
          <t>Pexels, REAFON GATES (photo n° 1498332)</t>
        </is>
      </c>
      <c r="R19" s="10" t="inlineStr">
        <is>
          <t>À valider</t>
        </is>
      </c>
    </row>
    <row r="20" ht="140" customHeight="1">
      <c r="A20" s="7" t="inlineStr">
        <is>
          <t>Dimanche</t>
        </is>
      </c>
      <c r="B20" s="8" t="inlineStr">
        <is>
          <t>01/11/2026</t>
        </is>
      </c>
      <c r="C20" s="8" t="inlineStr">
        <is>
          <t>10:00</t>
        </is>
      </c>
      <c r="D20" s="7" t="inlineStr">
        <is>
          <t>Facebook</t>
        </is>
      </c>
      <c r="E20" s="8" t="inlineStr">
        <is>
          <t>Visuel fixe</t>
        </is>
      </c>
      <c r="F20" s="8" t="inlineStr">
        <is>
          <t>1080 × 1350 px (4:5)</t>
        </is>
      </c>
      <c r="G20" s="8" t="inlineStr">
        <is>
          <t>Moments de la nation</t>
        </is>
      </c>
      <c r="H20" s="8" t="inlineStr">
        <is>
          <t>Image de marque</t>
        </is>
      </c>
      <c r="I20" s="8" t="inlineStr">
        <is>
          <t>En ce jour de Toussaint</t>
        </is>
      </c>
      <c r="J20" s="8" t="inlineStr">
        <is>
          <t>Une pensée pour ceux qui nous ont quittés</t>
        </is>
      </c>
      <c r="K20" s="8" t="inlineStr">
        <is>
          <t>En ce jour de Toussaint, nous avons une pensée pour toutes celles et tous ceux qui nous ont quittés, et pour leurs familles.</t>
        </is>
      </c>
      <c r="L20" s="8" t="inlineStr">
        <is>
          <t>#MTNCI</t>
        </is>
      </c>
      <c r="M20" s="8" t="inlineStr">
        <is>
          <t>Aucun</t>
        </is>
      </c>
      <c r="N20" s="9">
        <f>IMAGE("https://raw.githubusercontent.com/leslita06/fatima-unifood-fictif/b5fd701c6db624727d051dd33d2b7333b9559042/mtn-calendrier/d7_feed.jpg")</f>
        <v/>
      </c>
      <c r="O20" s="8" t="inlineStr">
        <is>
          <t>https://raw.githubusercontent.com/leslita06/fatima-unifood-fictif/b5fd701c6db624727d051dd33d2b7333b9559042/mtn-calendrier/d7_feed.jpg</t>
        </is>
      </c>
      <c r="P20" s="8" t="inlineStr">
        <is>
          <t>Visuel sobre : fond noir, texte blanc, filet jaune fin, logo MTN discret. Pas d'humour, pas de produit, pas d'offre.</t>
        </is>
      </c>
      <c r="Q20" s="8" t="inlineStr">
        <is>
          <t>Visuel graphique, sans photo</t>
        </is>
      </c>
      <c r="R20" s="10" t="inlineStr">
        <is>
          <t>À valider</t>
        </is>
      </c>
    </row>
    <row r="21" ht="140" customHeight="1">
      <c r="A21" s="7" t="inlineStr">
        <is>
          <t>Dimanche</t>
        </is>
      </c>
      <c r="B21" s="8" t="inlineStr">
        <is>
          <t>01/11/2026</t>
        </is>
      </c>
      <c r="C21" s="8" t="inlineStr">
        <is>
          <t>10:00</t>
        </is>
      </c>
      <c r="D21" s="7" t="inlineStr">
        <is>
          <t>Instagram</t>
        </is>
      </c>
      <c r="E21" s="8" t="inlineStr">
        <is>
          <t>Visuel fixe</t>
        </is>
      </c>
      <c r="F21" s="8" t="inlineStr">
        <is>
          <t>1080 × 1350 px (4:5)</t>
        </is>
      </c>
      <c r="G21" s="8" t="inlineStr">
        <is>
          <t>Moments de la nation</t>
        </is>
      </c>
      <c r="H21" s="8" t="inlineStr">
        <is>
          <t>Image de marque</t>
        </is>
      </c>
      <c r="I21" s="8" t="inlineStr">
        <is>
          <t>En ce jour de Toussaint</t>
        </is>
      </c>
      <c r="J21" s="8" t="inlineStr">
        <is>
          <t>Une pensée pour ceux qui nous ont quittés</t>
        </is>
      </c>
      <c r="K21" s="8" t="inlineStr">
        <is>
          <t>En ce jour de Toussaint, nous avons une pensée pour toutes celles et tous ceux qui nous ont quittés, et pour leurs familles.</t>
        </is>
      </c>
      <c r="L21" s="8" t="inlineStr">
        <is>
          <t>#MTNCI</t>
        </is>
      </c>
      <c r="M21" s="8" t="inlineStr">
        <is>
          <t>Aucun</t>
        </is>
      </c>
      <c r="N21" s="9">
        <f>IMAGE("https://raw.githubusercontent.com/leslita06/fatima-unifood-fictif/b5fd701c6db624727d051dd33d2b7333b9559042/mtn-calendrier/d7_feed.jpg")</f>
        <v/>
      </c>
      <c r="O21" s="8" t="inlineStr">
        <is>
          <t>https://raw.githubusercontent.com/leslita06/fatima-unifood-fictif/b5fd701c6db624727d051dd33d2b7333b9559042/mtn-calendrier/d7_feed.jpg</t>
        </is>
      </c>
      <c r="P21" s="8" t="inlineStr">
        <is>
          <t>Visuel sobre : fond noir, texte blanc, filet jaune fin, logo MTN discret. Pas d'humour, pas de produit, pas d'offre.</t>
        </is>
      </c>
      <c r="Q21" s="8" t="inlineStr">
        <is>
          <t>Visuel graphique, sans photo</t>
        </is>
      </c>
      <c r="R21" s="10" t="inlineStr">
        <is>
          <t>À valider</t>
        </is>
      </c>
    </row>
  </sheetData>
  <autoFilter ref="A1:R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30" customWidth="1" min="5" max="5"/>
    <col width="10" customWidth="1" min="6" max="6"/>
    <col width="60" customWidth="1" min="7" max="7"/>
  </cols>
  <sheetData>
    <row r="1">
      <c r="A1" s="3" t="inlineStr">
        <is>
          <t>Réseau</t>
        </is>
      </c>
      <c r="B1" s="3" t="inlineStr">
        <is>
          <t>Format</t>
        </is>
      </c>
      <c r="C1" s="3" t="inlineStr">
        <is>
          <t>Dimensions à livrer</t>
        </is>
      </c>
      <c r="D1" s="3" t="inlineStr">
        <is>
          <t>Durée</t>
        </is>
      </c>
      <c r="E1" s="3" t="inlineStr">
        <is>
          <t>Texte</t>
        </is>
      </c>
      <c r="F1" s="3" t="inlineStr">
        <is>
          <t>Hashtags</t>
        </is>
      </c>
      <c r="G1" s="3" t="inlineStr">
        <is>
          <t>Ce qui marche ici</t>
        </is>
      </c>
    </row>
    <row r="2" ht="45" customHeight="1">
      <c r="A2" s="4" t="inlineStr">
        <is>
          <t>Facebook</t>
        </is>
      </c>
      <c r="B2" s="5" t="inlineStr">
        <is>
          <t>Visuel fixe ou carrousel</t>
        </is>
      </c>
      <c r="C2" s="5" t="inlineStr">
        <is>
          <t>1080 × 1350 px (4:5) ou 1080 × 1080 px</t>
        </is>
      </c>
      <c r="D2" s="5" t="inlineStr">
        <is>
          <t>—</t>
        </is>
      </c>
      <c r="E2" s="5" t="inlineStr">
        <is>
          <t>Court, question à la fin</t>
        </is>
      </c>
      <c r="F2" s="5" t="inlineStr">
        <is>
          <t>2 ou 3</t>
        </is>
      </c>
      <c r="G2" s="5" t="inlineStr">
        <is>
          <t>Les votes et les commentaires : on pose une question simple et on y répond.</t>
        </is>
      </c>
    </row>
    <row r="3" ht="45" customHeight="1">
      <c r="A3" s="4" t="inlineStr">
        <is>
          <t>Facebook</t>
        </is>
      </c>
      <c r="B3" s="5" t="inlineStr">
        <is>
          <t>Vidéo</t>
        </is>
      </c>
      <c r="C3" s="5" t="inlineStr">
        <is>
          <t>1080 × 1350 px (4:5), sous-titrée</t>
        </is>
      </c>
      <c r="D3" s="5" t="inlineStr">
        <is>
          <t>15 à 60 s</t>
        </is>
      </c>
      <c r="E3" s="5" t="inlineStr">
        <is>
          <t>Une phrase d’accroche</t>
        </is>
      </c>
      <c r="F3" s="5" t="inlineStr">
        <is>
          <t>2 ou 3</t>
        </is>
      </c>
      <c r="G3" s="5" t="inlineStr">
        <is>
          <t>Beaucoup regardent sans le son : sous-titres obligatoires.</t>
        </is>
      </c>
    </row>
    <row r="4" ht="45" customHeight="1">
      <c r="A4" s="4" t="inlineStr">
        <is>
          <t>Instagram</t>
        </is>
      </c>
      <c r="B4" s="5" t="inlineStr">
        <is>
          <t>Reel</t>
        </is>
      </c>
      <c r="C4" s="5" t="inlineStr">
        <is>
          <t>1080 × 1920 px (9:16)</t>
        </is>
      </c>
      <c r="D4" s="5" t="inlineStr">
        <is>
          <t>15 à 45 s</t>
        </is>
      </c>
      <c r="E4" s="5" t="inlineStr">
        <is>
          <t>Accroche dans les 2 premières secondes</t>
        </is>
      </c>
      <c r="F4" s="5" t="inlineStr">
        <is>
          <t>8 à 15</t>
        </is>
      </c>
      <c r="G4" s="5" t="inlineStr">
        <is>
          <t>Le texte important reste au centre, loin des bords et du bas de l’écran.</t>
        </is>
      </c>
    </row>
    <row r="5" ht="45" customHeight="1">
      <c r="A5" s="4" t="inlineStr">
        <is>
          <t>Instagram</t>
        </is>
      </c>
      <c r="B5" s="5" t="inlineStr">
        <is>
          <t>Carrousel</t>
        </is>
      </c>
      <c r="C5" s="5" t="inlineStr">
        <is>
          <t>1080 × 1350 px (4:5)</t>
        </is>
      </c>
      <c r="D5" s="5" t="inlineStr">
        <is>
          <t>—</t>
        </is>
      </c>
      <c r="E5" s="5" t="inlineStr">
        <is>
          <t>Couverture forte, « glisse » en appel</t>
        </is>
      </c>
      <c r="F5" s="5" t="inlineStr">
        <is>
          <t>8 à 15</t>
        </is>
      </c>
      <c r="G5" s="5" t="inlineStr">
        <is>
          <t>Le premier visuel doit donner envie de glisser.</t>
        </is>
      </c>
    </row>
    <row r="6" ht="45" customHeight="1">
      <c r="A6" s="4" t="inlineStr">
        <is>
          <t>Instagram</t>
        </is>
      </c>
      <c r="B6" s="5" t="inlineStr">
        <is>
          <t>Story avec sondage</t>
        </is>
      </c>
      <c r="C6" s="5" t="inlineStr">
        <is>
          <t>1080 × 1920 px (9:16)</t>
        </is>
      </c>
      <c r="D6" s="5" t="inlineStr">
        <is>
          <t>—</t>
        </is>
      </c>
      <c r="E6" s="5" t="inlineStr">
        <is>
          <t>Une question, deux réponses</t>
        </is>
      </c>
      <c r="F6" s="5" t="inlineStr">
        <is>
          <t>Aucun</t>
        </is>
      </c>
      <c r="G6" s="5" t="inlineStr">
        <is>
          <t>Les sondages et curseurs font répondre en un geste.</t>
        </is>
      </c>
    </row>
    <row r="7" ht="45" customHeight="1">
      <c r="A7" s="4" t="inlineStr">
        <is>
          <t>TikTok</t>
        </is>
      </c>
      <c r="B7" s="5" t="inlineStr">
        <is>
          <t>Vidéo verticale</t>
        </is>
      </c>
      <c r="C7" s="5" t="inlineStr">
        <is>
          <t>1080 × 1920 px (9:16)</t>
        </is>
      </c>
      <c r="D7" s="5" t="inlineStr">
        <is>
          <t>15 à 45 s</t>
        </is>
      </c>
      <c r="E7" s="5" t="inlineStr">
        <is>
          <t>Une ligne, question au bout</t>
        </is>
      </c>
      <c r="F7" s="5" t="inlineStr">
        <is>
          <t>3 à 5</t>
        </is>
      </c>
      <c r="G7" s="5" t="inlineStr">
        <is>
          <t>Ton direct, pas de publicité visible, le duo et la reprise du défi font tourner.</t>
        </is>
      </c>
    </row>
    <row r="8" ht="45" customHeight="1">
      <c r="A8" s="4" t="inlineStr">
        <is>
          <t>TikTok</t>
        </is>
      </c>
      <c r="B8" s="5" t="inlineStr">
        <is>
          <t>Diaporama photo</t>
        </is>
      </c>
      <c r="C8" s="5" t="inlineStr">
        <is>
          <t>1080 × 1920 px (9:16)</t>
        </is>
      </c>
      <c r="D8" s="5" t="inlineStr">
        <is>
          <t>—</t>
        </is>
      </c>
      <c r="E8" s="5" t="inlineStr">
        <is>
          <t>Une ligne</t>
        </is>
      </c>
      <c r="F8" s="5" t="inlineStr">
        <is>
          <t>3 à 5</t>
        </is>
      </c>
      <c r="G8" s="5" t="inlineStr">
        <is>
          <t>Facile à produire sans tournage.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1" t="inlineStr">
        <is>
          <t>Répartition des 20 publications</t>
        </is>
      </c>
    </row>
    <row r="3">
      <c r="A3" s="12" t="inlineStr">
        <is>
          <t>Par réseau</t>
        </is>
      </c>
      <c r="B3" s="12" t="inlineStr">
        <is>
          <t>Publications</t>
        </is>
      </c>
    </row>
    <row r="4">
      <c r="A4" s="13" t="inlineStr">
        <is>
          <t>Facebook</t>
        </is>
      </c>
      <c r="B4" s="13" t="n">
        <v>7</v>
      </c>
    </row>
    <row r="5">
      <c r="A5" s="13" t="inlineStr">
        <is>
          <t>Instagram</t>
        </is>
      </c>
      <c r="B5" s="13" t="n">
        <v>7</v>
      </c>
    </row>
    <row r="6">
      <c r="A6" s="13" t="inlineStr">
        <is>
          <t>TikTok</t>
        </is>
      </c>
      <c r="B6" s="13" t="n">
        <v>6</v>
      </c>
    </row>
    <row r="8">
      <c r="A8" s="12" t="inlineStr">
        <is>
          <t>Par pilier</t>
        </is>
      </c>
      <c r="B8" s="12" t="inlineStr">
        <is>
          <t>Publications</t>
        </is>
      </c>
    </row>
    <row r="9">
      <c r="A9" s="13" t="inlineStr">
        <is>
          <t>Vie à Abidjan</t>
        </is>
      </c>
      <c r="B9" s="13" t="n">
        <v>6</v>
      </c>
    </row>
    <row r="10">
      <c r="A10" s="13" t="inlineStr">
        <is>
          <t>Humour et famille</t>
        </is>
      </c>
      <c r="B10" s="13" t="n">
        <v>3</v>
      </c>
    </row>
    <row r="11">
      <c r="A11" s="13" t="inlineStr">
        <is>
          <t>Défis et participation</t>
        </is>
      </c>
      <c r="B11" s="13" t="n">
        <v>3</v>
      </c>
    </row>
    <row r="12">
      <c r="A12" s="13" t="inlineStr">
        <is>
          <t>Fierté des quartiers</t>
        </is>
      </c>
      <c r="B12" s="13" t="n">
        <v>3</v>
      </c>
    </row>
    <row r="13">
      <c r="A13" s="13" t="inlineStr">
        <is>
          <t>Argent du quotidien (MoMo)</t>
        </is>
      </c>
      <c r="B13" s="13" t="n">
        <v>3</v>
      </c>
    </row>
    <row r="14">
      <c r="A14" s="13" t="inlineStr">
        <is>
          <t>Moments de la nation</t>
        </is>
      </c>
      <c r="B14" s="13" t="n">
        <v>2</v>
      </c>
    </row>
    <row r="16">
      <c r="A16" s="12" t="inlineStr">
        <is>
          <t>Par objectif</t>
        </is>
      </c>
      <c r="B16" s="12" t="inlineStr">
        <is>
          <t>Publications</t>
        </is>
      </c>
    </row>
    <row r="17">
      <c r="A17" s="13" t="inlineStr">
        <is>
          <t>Engagement (TOFU)</t>
        </is>
      </c>
      <c r="B17" s="13" t="n">
        <v>15</v>
      </c>
    </row>
    <row r="18">
      <c r="A18" s="13" t="inlineStr">
        <is>
          <t>Considération (MOFU)</t>
        </is>
      </c>
      <c r="B18" s="13" t="n">
        <v>3</v>
      </c>
    </row>
    <row r="19">
      <c r="A19" s="13" t="inlineStr">
        <is>
          <t>Image de marque</t>
        </is>
      </c>
      <c r="B19" s="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2026-10-22T12:27:35Z</dcterms:created>
  <dcterms:modified xmlns:dcterms="http://purl.org/dc/terms/" xmlns:xsi="http://www.w3.org/2001/XMLSchema-instance" xsi:type="dcterms:W3CDTF">2026-10-22T12:27:35Z</dcterms:modified>
</cp:coreProperties>
</file>