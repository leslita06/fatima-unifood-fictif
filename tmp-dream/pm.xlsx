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du plan" sheetId="2" state="visible" r:id="rId2"/>
    <sheet xmlns:r="http://schemas.openxmlformats.org/officeDocument/2006/relationships" name="Calendrier" sheetId="3" state="visible" r:id="rId3"/>
    <sheet xmlns:r="http://schemas.openxmlformats.org/officeDocument/2006/relationships" name="Indicateurs" sheetId="4" state="visible" r:id="rId4"/>
    <sheet xmlns:r="http://schemas.openxmlformats.org/officeDocument/2006/relationships" name="Avant de lanc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&quot;"/>
  </numFmts>
  <fonts count="6">
    <font>
      <name val="Calibri"/>
      <family val="2"/>
      <color theme="1"/>
      <sz val="11"/>
      <scheme val="minor"/>
    </font>
    <font>
      <b val="1"/>
      <color rgb="00AE172A"/>
      <sz val="16"/>
    </font>
    <font>
      <color rgb="0077737A"/>
    </font>
    <font>
      <b val="1"/>
      <color rgb="00AE172A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AE172A"/>
      </patternFill>
    </fill>
    <fill>
      <patternFill patternType="solid">
        <fgColor rgb="00FBF1F2"/>
      </patternFill>
    </fill>
    <fill>
      <patternFill patternType="solid">
        <fgColor rgb="00FF8087"/>
      </patternFill>
    </fill>
  </fills>
  <borders count="2">
    <border>
      <left/>
      <right/>
      <top/>
      <bottom/>
      <diagonal/>
    </border>
    <border>
      <left style="thin">
        <color rgb="00E3D5D7"/>
      </left>
      <right style="thin">
        <color rgb="00E3D5D7"/>
      </right>
      <top style="thin">
        <color rgb="00E3D5D7"/>
      </top>
      <bottom style="thin">
        <color rgb="00E3D5D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0" fontId="0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0" customWidth="1" min="3" max="3"/>
  </cols>
  <sheetData>
    <row r="1">
      <c r="A1" s="1" t="inlineStr">
        <is>
          <t>Plan média : lancement de la nouvelle crème, Côte d'Ivoire et Sénégal</t>
        </is>
      </c>
    </row>
    <row r="2">
      <c r="A2" s="2" t="inlineStr">
        <is>
          <t>Dream Cosmetics  |  Budget 15 000 000 F CFA  |  3 mois (12 semaines)  |  Version du 19/10/2026</t>
        </is>
      </c>
    </row>
    <row r="4">
      <c r="A4" s="3" t="inlineStr">
        <is>
          <t>Le principe</t>
        </is>
      </c>
    </row>
    <row r="5">
      <c r="A5" t="inlineStr">
        <is>
          <t>• Une crème se vend quand on l'a essayée : la moitié de l'argent va à l'essai (échantillons au rayon, démonstrations par des créatrices).</t>
        </is>
      </c>
    </row>
    <row r="6">
      <c r="A6" t="inlineStr">
        <is>
          <t>• Le digital payant fait connaître et renvoie vers les points de vente. Pas de télévision ni de radio : avec 15 millions sur deux pays, elles absorberaient tout le budget.</t>
        </is>
      </c>
    </row>
    <row r="7">
      <c r="A7" t="inlineStr">
        <is>
          <t>• Côte d'Ivoire en tête (marché d'origine, réseau de distribution déjà en place), Sénégal en second, avec ses propres créatrices et ses propres textes.</t>
        </is>
      </c>
    </row>
    <row r="8">
      <c r="A8" t="inlineStr">
        <is>
          <t>• Trois temps : lancement (mois 1, le plus fort), installation (mois 2), relance (mois 3). Une réserve de 5 % va au canal qui coûte le moins par essai.</t>
        </is>
      </c>
    </row>
    <row r="10">
      <c r="A10" s="4" t="inlineStr">
        <is>
          <t>Répartition</t>
        </is>
      </c>
      <c r="B10" s="4" t="inlineStr">
        <is>
          <t>Montant</t>
        </is>
      </c>
      <c r="C10" s="4" t="inlineStr">
        <is>
          <t>Part</t>
        </is>
      </c>
    </row>
    <row r="11">
      <c r="A11" t="inlineStr">
        <is>
          <t>Côte d'Ivoire</t>
        </is>
      </c>
      <c r="B11" s="5" t="n">
        <v>8600000</v>
      </c>
      <c r="C11" s="6">
        <f>B11/B15</f>
        <v/>
      </c>
    </row>
    <row r="12">
      <c r="A12" t="inlineStr">
        <is>
          <t>Sénégal</t>
        </is>
      </c>
      <c r="B12" s="5" t="n">
        <v>4150000</v>
      </c>
      <c r="C12" s="6">
        <f>B12/B15</f>
        <v/>
      </c>
    </row>
    <row r="13">
      <c r="A13" t="inlineStr">
        <is>
          <t>Production commune</t>
        </is>
      </c>
      <c r="B13" s="5" t="n">
        <v>1500000</v>
      </c>
      <c r="C13" s="6">
        <f>B13/B15</f>
        <v/>
      </c>
    </row>
    <row r="14">
      <c r="A14" t="inlineStr">
        <is>
          <t>Réserve de performance</t>
        </is>
      </c>
      <c r="B14" s="5" t="n">
        <v>750000</v>
      </c>
      <c r="C14" s="6">
        <f>B14/B15</f>
        <v/>
      </c>
    </row>
    <row r="15">
      <c r="A15" s="7" t="inlineStr">
        <is>
          <t>Total</t>
        </is>
      </c>
      <c r="B15" s="8">
        <f>SUM(B11:B14)</f>
        <v/>
      </c>
      <c r="C15" s="9">
        <f>SUM(C11:C14)</f>
        <v/>
      </c>
    </row>
    <row r="17">
      <c r="A17" s="4" t="inlineStr">
        <is>
          <t>Par poste</t>
        </is>
      </c>
      <c r="B17" s="4" t="inlineStr">
        <is>
          <t>Montant</t>
        </is>
      </c>
      <c r="C17" s="4" t="inlineStr">
        <is>
          <t>Part</t>
        </is>
      </c>
    </row>
    <row r="18">
      <c r="A18" t="inlineStr">
        <is>
          <t>Digital payant</t>
        </is>
      </c>
      <c r="B18" s="5" t="n">
        <v>5950000</v>
      </c>
      <c r="C18" s="6">
        <f>B18/15000000</f>
        <v/>
      </c>
    </row>
    <row r="19">
      <c r="A19" t="inlineStr">
        <is>
          <t>Point de vente</t>
        </is>
      </c>
      <c r="B19" s="5" t="n">
        <v>4400000</v>
      </c>
      <c r="C19" s="6">
        <f>B19/15000000</f>
        <v/>
      </c>
    </row>
    <row r="20">
      <c r="A20" t="inlineStr">
        <is>
          <t>Créatrices</t>
        </is>
      </c>
      <c r="B20" s="5" t="n">
        <v>2400000</v>
      </c>
      <c r="C20" s="6">
        <f>B20/15000000</f>
        <v/>
      </c>
    </row>
    <row r="21">
      <c r="A21" t="inlineStr">
        <is>
          <t>Production</t>
        </is>
      </c>
      <c r="B21" s="5" t="n">
        <v>1500000</v>
      </c>
      <c r="C21" s="6">
        <f>B21/15000000</f>
        <v/>
      </c>
    </row>
    <row r="22">
      <c r="A22" t="inlineStr">
        <is>
          <t>Réserve</t>
        </is>
      </c>
      <c r="B22" s="5" t="n">
        <v>750000</v>
      </c>
      <c r="C22" s="6">
        <f>B22/15000000</f>
        <v/>
      </c>
    </row>
    <row r="24">
      <c r="A24" s="4" t="inlineStr">
        <is>
          <t>Par mois</t>
        </is>
      </c>
      <c r="B24" s="4" t="inlineStr">
        <is>
          <t>Montant</t>
        </is>
      </c>
      <c r="C24" s="4" t="inlineStr">
        <is>
          <t>Part</t>
        </is>
      </c>
    </row>
    <row r="25">
      <c r="A25" t="inlineStr">
        <is>
          <t>Mois 1 : lancement</t>
        </is>
      </c>
      <c r="B25" s="5" t="n">
        <v>7687500</v>
      </c>
      <c r="C25" s="6">
        <f>B25/15000000</f>
        <v/>
      </c>
    </row>
    <row r="26">
      <c r="A26" t="inlineStr">
        <is>
          <t>Mois 2 : installation</t>
        </is>
      </c>
      <c r="B26" s="5" t="n">
        <v>5192500</v>
      </c>
      <c r="C26" s="6">
        <f>B26/15000000</f>
        <v/>
      </c>
    </row>
    <row r="27">
      <c r="A27" t="inlineStr">
        <is>
          <t>Mois 3 : relance</t>
        </is>
      </c>
      <c r="B27" s="5" t="n">
        <v>2120000</v>
      </c>
      <c r="C27" s="6">
        <f>B27/15000000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6" customWidth="1" min="4" max="4"/>
    <col width="52" customWidth="1" min="5" max="5"/>
    <col width="14" customWidth="1" min="6" max="6"/>
    <col width="13" customWidth="1" min="7" max="7"/>
    <col width="13" customWidth="1" min="8" max="8"/>
    <col width="13" customWidth="1" min="9" max="9"/>
    <col width="10" customWidth="1" min="10" max="10"/>
  </cols>
  <sheetData>
    <row r="1">
      <c r="A1" s="4" t="inlineStr">
        <is>
          <t>Pays</t>
        </is>
      </c>
      <c r="B1" s="4" t="inlineStr">
        <is>
          <t>Poste</t>
        </is>
      </c>
      <c r="C1" s="4" t="inlineStr">
        <is>
          <t>Canal</t>
        </is>
      </c>
      <c r="D1" s="4" t="inlineStr">
        <is>
          <t>Rôle</t>
        </is>
      </c>
      <c r="E1" s="4" t="inlineStr">
        <is>
          <t>Ce qu'on achète</t>
        </is>
      </c>
      <c r="F1" s="4" t="inlineStr">
        <is>
          <t>Budget</t>
        </is>
      </c>
      <c r="G1" s="4" t="inlineStr">
        <is>
          <t>Mois 1</t>
        </is>
      </c>
      <c r="H1" s="4" t="inlineStr">
        <is>
          <t>Mois 2</t>
        </is>
      </c>
      <c r="I1" s="4" t="inlineStr">
        <is>
          <t>Mois 3</t>
        </is>
      </c>
      <c r="J1" s="4" t="inlineStr">
        <is>
          <t>Part du total</t>
        </is>
      </c>
    </row>
    <row r="2">
      <c r="A2" s="10" t="inlineStr">
        <is>
          <t>Commun</t>
        </is>
      </c>
      <c r="B2" s="10" t="inlineStr">
        <is>
          <t>Production</t>
        </is>
      </c>
      <c r="C2" s="10" t="inlineStr">
        <is>
          <t>Tournage vidéo et photos (2 jours, 1 équipe)</t>
        </is>
      </c>
      <c r="D2" s="10" t="inlineStr">
        <is>
          <t>Fournir tous les contenus</t>
        </is>
      </c>
      <c r="E2" s="10" t="inlineStr">
        <is>
          <t>1 film de 30 s, 6 vidéos verticales de 15 s, 20 photos produit et portée</t>
        </is>
      </c>
      <c r="F2" s="11" t="n">
        <v>1200000</v>
      </c>
      <c r="G2" s="11">
        <f>F2*1</f>
        <v/>
      </c>
      <c r="H2" s="11">
        <f>F2*0</f>
        <v/>
      </c>
      <c r="I2" s="11">
        <f>F2*0</f>
        <v/>
      </c>
      <c r="J2" s="12">
        <f>F2/15000000</f>
        <v/>
      </c>
    </row>
    <row r="3">
      <c r="A3" s="10" t="inlineStr">
        <is>
          <t>Commun</t>
        </is>
      </c>
      <c r="B3" s="10" t="inlineStr">
        <is>
          <t>Production</t>
        </is>
      </c>
      <c r="C3" s="10" t="inlineStr">
        <is>
          <t>Déclinaisons visuelles et PLV (fichiers)</t>
        </is>
      </c>
      <c r="D3" s="10" t="inlineStr">
        <is>
          <t>Adapter aux formats</t>
        </is>
      </c>
      <c r="E3" s="10" t="inlineStr">
        <is>
          <t>Formats Meta, TikTok, stop-rayon, présentoir, affichette</t>
        </is>
      </c>
      <c r="F3" s="11" t="n">
        <v>300000</v>
      </c>
      <c r="G3" s="11">
        <f>F3*1</f>
        <v/>
      </c>
      <c r="H3" s="11">
        <f>F3*0</f>
        <v/>
      </c>
      <c r="I3" s="11">
        <f>F3*0</f>
        <v/>
      </c>
      <c r="J3" s="12">
        <f>F3/15000000</f>
        <v/>
      </c>
    </row>
    <row r="4">
      <c r="A4" s="10" t="inlineStr">
        <is>
          <t>Côte d'Ivoire</t>
        </is>
      </c>
      <c r="B4" s="10" t="inlineStr">
        <is>
          <t>Digital payant</t>
        </is>
      </c>
      <c r="C4" s="10" t="inlineStr">
        <is>
          <t>Meta (Facebook et Instagram)</t>
        </is>
      </c>
      <c r="D4" s="10" t="inlineStr">
        <is>
          <t>Faire connaître et faire essayer</t>
        </is>
      </c>
      <c r="E4" s="10" t="inlineStr">
        <is>
          <t>Vidéos et carrousels, ciblage femmes 18 à 45 ans, Abidjan puis Bouaké, San-Pédro, Yamoussoukro</t>
        </is>
      </c>
      <c r="F4" s="11" t="n">
        <v>2700000</v>
      </c>
      <c r="G4" s="11">
        <f>F4*0.45</f>
        <v/>
      </c>
      <c r="H4" s="11">
        <f>F4*0.35</f>
        <v/>
      </c>
      <c r="I4" s="11">
        <f>F4*0.2</f>
        <v/>
      </c>
      <c r="J4" s="12">
        <f>F4/15000000</f>
        <v/>
      </c>
    </row>
    <row r="5">
      <c r="A5" s="10" t="inlineStr">
        <is>
          <t>Côte d'Ivoire</t>
        </is>
      </c>
      <c r="B5" s="10" t="inlineStr">
        <is>
          <t>Digital payant</t>
        </is>
      </c>
      <c r="C5" s="10" t="inlineStr">
        <is>
          <t>TikTok</t>
        </is>
      </c>
      <c r="D5" s="10" t="inlineStr">
        <is>
          <t>Toucher les 18 à 30 ans</t>
        </is>
      </c>
      <c r="E5" s="10" t="inlineStr">
        <is>
          <t>Vidéos de créatrices relayées en publicité (Spark Ads)</t>
        </is>
      </c>
      <c r="F5" s="11" t="n">
        <v>1200000</v>
      </c>
      <c r="G5" s="11">
        <f>F5*0.45</f>
        <v/>
      </c>
      <c r="H5" s="11">
        <f>F5*0.35</f>
        <v/>
      </c>
      <c r="I5" s="11">
        <f>F5*0.2</f>
        <v/>
      </c>
      <c r="J5" s="12">
        <f>F5/15000000</f>
        <v/>
      </c>
    </row>
    <row r="6">
      <c r="A6" s="10" t="inlineStr">
        <is>
          <t>Côte d'Ivoire</t>
        </is>
      </c>
      <c r="B6" s="10" t="inlineStr">
        <is>
          <t>Créatrices</t>
        </is>
      </c>
      <c r="C6" s="10" t="inlineStr">
        <is>
          <t>Créatrices de contenu beauté</t>
        </is>
      </c>
      <c r="D6" s="10" t="inlineStr">
        <is>
          <t>Preuve et démonstration</t>
        </is>
      </c>
      <c r="E6" s="10" t="inlineStr">
        <is>
          <t>1 créatrice reconnue et 5 micro-créatrices, routine de 15 jours filmée</t>
        </is>
      </c>
      <c r="F6" s="11" t="n">
        <v>1500000</v>
      </c>
      <c r="G6" s="11">
        <f>F6*0.5</f>
        <v/>
      </c>
      <c r="H6" s="11">
        <f>F6*0.35</f>
        <v/>
      </c>
      <c r="I6" s="11">
        <f>F6*0.15</f>
        <v/>
      </c>
      <c r="J6" s="12">
        <f>F6/15000000</f>
        <v/>
      </c>
    </row>
    <row r="7">
      <c r="A7" s="10" t="inlineStr">
        <is>
          <t>Côte d'Ivoire</t>
        </is>
      </c>
      <c r="B7" s="10" t="inlineStr">
        <is>
          <t>Point de vente</t>
        </is>
      </c>
      <c r="C7" s="10" t="inlineStr">
        <is>
          <t>Animation et échantillonnage</t>
        </is>
      </c>
      <c r="D7" s="10" t="inlineStr">
        <is>
          <t>Faire essayer au rayon</t>
        </is>
      </c>
      <c r="E7" s="10" t="inlineStr">
        <is>
          <t>Animatrices en supermarchés et grands marchés (Adjamé, Treichville, Yopougon), échantillons fournis par l'usine</t>
        </is>
      </c>
      <c r="F7" s="11" t="n">
        <v>2600000</v>
      </c>
      <c r="G7" s="11">
        <f>F7*0.45</f>
        <v/>
      </c>
      <c r="H7" s="11">
        <f>F7*0.4</f>
        <v/>
      </c>
      <c r="I7" s="11">
        <f>F7*0.15</f>
        <v/>
      </c>
      <c r="J7" s="12">
        <f>F7/15000000</f>
        <v/>
      </c>
    </row>
    <row r="8">
      <c r="A8" s="10" t="inlineStr">
        <is>
          <t>Côte d'Ivoire</t>
        </is>
      </c>
      <c r="B8" s="10" t="inlineStr">
        <is>
          <t>Point de vente</t>
        </is>
      </c>
      <c r="C8" s="10" t="inlineStr">
        <is>
          <t>PLV (impression et pose)</t>
        </is>
      </c>
      <c r="D8" s="10" t="inlineStr">
        <is>
          <t>Être vu au rayon</t>
        </is>
      </c>
      <c r="E8" s="10" t="inlineStr">
        <is>
          <t>Stop-rayons, présentoirs de comptoir, affichettes</t>
        </is>
      </c>
      <c r="F8" s="11" t="n">
        <v>600000</v>
      </c>
      <c r="G8" s="11">
        <f>F8*1</f>
        <v/>
      </c>
      <c r="H8" s="11">
        <f>F8*0</f>
        <v/>
      </c>
      <c r="I8" s="11">
        <f>F8*0</f>
        <v/>
      </c>
      <c r="J8" s="12">
        <f>F8/15000000</f>
        <v/>
      </c>
    </row>
    <row r="9">
      <c r="A9" s="10" t="inlineStr">
        <is>
          <t>Sénégal</t>
        </is>
      </c>
      <c r="B9" s="10" t="inlineStr">
        <is>
          <t>Digital payant</t>
        </is>
      </c>
      <c r="C9" s="10" t="inlineStr">
        <is>
          <t>Meta (Facebook et Instagram)</t>
        </is>
      </c>
      <c r="D9" s="10" t="inlineStr">
        <is>
          <t>Faire connaître et faire essayer</t>
        </is>
      </c>
      <c r="E9" s="10" t="inlineStr">
        <is>
          <t>Vidéos et carrousels, ciblage femmes 18 à 45 ans, Dakar puis Thiès et Touba</t>
        </is>
      </c>
      <c r="F9" s="11" t="n">
        <v>1400000</v>
      </c>
      <c r="G9" s="11">
        <f>F9*0.45</f>
        <v/>
      </c>
      <c r="H9" s="11">
        <f>F9*0.35</f>
        <v/>
      </c>
      <c r="I9" s="11">
        <f>F9*0.2</f>
        <v/>
      </c>
      <c r="J9" s="12">
        <f>F9/15000000</f>
        <v/>
      </c>
    </row>
    <row r="10">
      <c r="A10" s="10" t="inlineStr">
        <is>
          <t>Sénégal</t>
        </is>
      </c>
      <c r="B10" s="10" t="inlineStr">
        <is>
          <t>Digital payant</t>
        </is>
      </c>
      <c r="C10" s="10" t="inlineStr">
        <is>
          <t>TikTok</t>
        </is>
      </c>
      <c r="D10" s="10" t="inlineStr">
        <is>
          <t>Toucher les 18 à 30 ans</t>
        </is>
      </c>
      <c r="E10" s="10" t="inlineStr">
        <is>
          <t>Vidéos de créatrices sénégalaises relayées en publicité</t>
        </is>
      </c>
      <c r="F10" s="11" t="n">
        <v>650000</v>
      </c>
      <c r="G10" s="11">
        <f>F10*0.45</f>
        <v/>
      </c>
      <c r="H10" s="11">
        <f>F10*0.35</f>
        <v/>
      </c>
      <c r="I10" s="11">
        <f>F10*0.2</f>
        <v/>
      </c>
      <c r="J10" s="12">
        <f>F10/15000000</f>
        <v/>
      </c>
    </row>
    <row r="11">
      <c r="A11" s="10" t="inlineStr">
        <is>
          <t>Sénégal</t>
        </is>
      </c>
      <c r="B11" s="10" t="inlineStr">
        <is>
          <t>Créatrices</t>
        </is>
      </c>
      <c r="C11" s="10" t="inlineStr">
        <is>
          <t>Créatrices de contenu beauté</t>
        </is>
      </c>
      <c r="D11" s="10" t="inlineStr">
        <is>
          <t>Preuve et démonstration</t>
        </is>
      </c>
      <c r="E11" s="10" t="inlineStr">
        <is>
          <t>1 créatrice reconnue et 3 micro-créatrices, textes en français et en wolof</t>
        </is>
      </c>
      <c r="F11" s="11" t="n">
        <v>900000</v>
      </c>
      <c r="G11" s="11">
        <f>F11*0.5</f>
        <v/>
      </c>
      <c r="H11" s="11">
        <f>F11*0.35</f>
        <v/>
      </c>
      <c r="I11" s="11">
        <f>F11*0.15</f>
        <v/>
      </c>
      <c r="J11" s="12">
        <f>F11/15000000</f>
        <v/>
      </c>
    </row>
    <row r="12">
      <c r="A12" s="10" t="inlineStr">
        <is>
          <t>Sénégal</t>
        </is>
      </c>
      <c r="B12" s="10" t="inlineStr">
        <is>
          <t>Point de vente</t>
        </is>
      </c>
      <c r="C12" s="10" t="inlineStr">
        <is>
          <t>Animation et échantillonnage</t>
        </is>
      </c>
      <c r="D12" s="10" t="inlineStr">
        <is>
          <t>Faire essayer au rayon</t>
        </is>
      </c>
      <c r="E12" s="10" t="inlineStr">
        <is>
          <t>Animatrices en supermarchés et marchés (Sandaga, HLM, Colobane)</t>
        </is>
      </c>
      <c r="F12" s="11" t="n">
        <v>1200000</v>
      </c>
      <c r="G12" s="11">
        <f>F12*0.45</f>
        <v/>
      </c>
      <c r="H12" s="11">
        <f>F12*0.4</f>
        <v/>
      </c>
      <c r="I12" s="11">
        <f>F12*0.15</f>
        <v/>
      </c>
      <c r="J12" s="12">
        <f>F12/15000000</f>
        <v/>
      </c>
    </row>
    <row r="13">
      <c r="A13" s="10" t="inlineStr">
        <is>
          <t>Commun</t>
        </is>
      </c>
      <c r="B13" s="10" t="inlineStr">
        <is>
          <t>Réserve</t>
        </is>
      </c>
      <c r="C13" s="10" t="inlineStr">
        <is>
          <t>Réserve de performance</t>
        </is>
      </c>
      <c r="D13" s="10" t="inlineStr">
        <is>
          <t>Renforcer ce qui marche</t>
        </is>
      </c>
      <c r="E13" s="10" t="inlineStr">
        <is>
          <t>Débloquée en semaine 6 sur le canal au meilleur coût par essai</t>
        </is>
      </c>
      <c r="F13" s="11" t="n">
        <v>750000</v>
      </c>
      <c r="G13" s="11">
        <f>F13*0</f>
        <v/>
      </c>
      <c r="H13" s="11">
        <f>F13*1</f>
        <v/>
      </c>
      <c r="I13" s="11">
        <f>F13*0</f>
        <v/>
      </c>
      <c r="J13" s="12">
        <f>F13/15000000</f>
        <v/>
      </c>
    </row>
    <row r="14">
      <c r="A14" s="13" t="inlineStr">
        <is>
          <t>Total</t>
        </is>
      </c>
      <c r="B14" s="13" t="inlineStr"/>
      <c r="C14" s="13" t="inlineStr"/>
      <c r="D14" s="13" t="inlineStr"/>
      <c r="E14" s="13" t="inlineStr"/>
      <c r="F14" s="14">
        <f>SUM(F2:F13)</f>
        <v/>
      </c>
      <c r="G14" s="14">
        <f>SUM(G2:G13)</f>
        <v/>
      </c>
      <c r="H14" s="14">
        <f>SUM(H2:H13)</f>
        <v/>
      </c>
      <c r="I14" s="14">
        <f>SUM(I2:I13)</f>
        <v/>
      </c>
      <c r="J14" s="15">
        <f>SUM(J2:J13)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</cols>
  <sheetData>
    <row r="1">
      <c r="A1" s="4" t="inlineStr">
        <is>
          <t>Action</t>
        </is>
      </c>
      <c r="B1" s="4" t="inlineStr">
        <is>
          <t>Pays</t>
        </is>
      </c>
      <c r="C1" s="4" t="inlineStr">
        <is>
          <t>S1</t>
        </is>
      </c>
      <c r="D1" s="4" t="inlineStr">
        <is>
          <t>S2</t>
        </is>
      </c>
      <c r="E1" s="4" t="inlineStr">
        <is>
          <t>S3</t>
        </is>
      </c>
      <c r="F1" s="4" t="inlineStr">
        <is>
          <t>S4</t>
        </is>
      </c>
      <c r="G1" s="4" t="inlineStr">
        <is>
          <t>S5</t>
        </is>
      </c>
      <c r="H1" s="4" t="inlineStr">
        <is>
          <t>S6</t>
        </is>
      </c>
      <c r="I1" s="4" t="inlineStr">
        <is>
          <t>S7</t>
        </is>
      </c>
      <c r="J1" s="4" t="inlineStr">
        <is>
          <t>S8</t>
        </is>
      </c>
      <c r="K1" s="4" t="inlineStr">
        <is>
          <t>S9</t>
        </is>
      </c>
      <c r="L1" s="4" t="inlineStr">
        <is>
          <t>S10</t>
        </is>
      </c>
      <c r="M1" s="4" t="inlineStr">
        <is>
          <t>S11</t>
        </is>
      </c>
      <c r="N1" s="4" t="inlineStr">
        <is>
          <t>S12</t>
        </is>
      </c>
    </row>
    <row r="2">
      <c r="A2" t="inlineStr">
        <is>
          <t>Tournage et déclinaisons (2 semaines avant S1)</t>
        </is>
      </c>
      <c r="B2" t="inlineStr">
        <is>
          <t>Commun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Mise en place PLV</t>
        </is>
      </c>
      <c r="B3" t="inlineStr">
        <is>
          <t>Côte d'Ivoire</t>
        </is>
      </c>
      <c r="C3" s="16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Animations et échantillons</t>
        </is>
      </c>
      <c r="B4" t="inlineStr">
        <is>
          <t>Côte d'Ivoire</t>
        </is>
      </c>
      <c r="C4" s="16" t="inlineStr"/>
      <c r="D4" s="16" t="inlineStr"/>
      <c r="E4" s="16" t="inlineStr"/>
      <c r="F4" s="16" t="inlineStr"/>
      <c r="G4" s="16" t="inlineStr"/>
      <c r="H4" s="16" t="inlineStr"/>
      <c r="I4" s="16" t="inlineStr"/>
      <c r="J4" s="16" t="inlineStr"/>
      <c r="K4" t="inlineStr"/>
      <c r="L4" s="16" t="inlineStr"/>
      <c r="M4" s="16" t="inlineStr"/>
      <c r="N4" t="inlineStr"/>
    </row>
    <row r="5">
      <c r="A5" t="inlineStr">
        <is>
          <t>Animations et échantillons</t>
        </is>
      </c>
      <c r="B5" t="inlineStr">
        <is>
          <t>Sénégal</t>
        </is>
      </c>
      <c r="C5" t="inlineStr"/>
      <c r="D5" s="16" t="inlineStr"/>
      <c r="E5" s="16" t="inlineStr"/>
      <c r="F5" s="16" t="inlineStr"/>
      <c r="G5" s="16" t="inlineStr"/>
      <c r="H5" s="16" t="inlineStr"/>
      <c r="I5" s="16" t="inlineStr"/>
      <c r="J5" t="inlineStr"/>
      <c r="K5" t="inlineStr"/>
      <c r="L5" s="16" t="inlineStr"/>
      <c r="M5" s="16" t="inlineStr"/>
      <c r="N5" t="inlineStr"/>
    </row>
    <row r="6">
      <c r="A6" t="inlineStr">
        <is>
          <t>Créatrices : routine de 15 jours</t>
        </is>
      </c>
      <c r="B6" t="inlineStr">
        <is>
          <t>Les deux</t>
        </is>
      </c>
      <c r="C6" s="16" t="inlineStr"/>
      <c r="D6" s="16" t="inlineStr"/>
      <c r="E6" s="16" t="inlineStr"/>
      <c r="F6" t="inlineStr"/>
      <c r="G6" t="inlineStr"/>
      <c r="H6" s="16" t="inlineStr"/>
      <c r="I6" s="16" t="inlineStr"/>
      <c r="J6" t="inlineStr"/>
      <c r="K6" t="inlineStr"/>
      <c r="L6" s="16" t="inlineStr"/>
      <c r="M6" t="inlineStr"/>
      <c r="N6" t="inlineStr"/>
    </row>
    <row r="7">
      <c r="A7" t="inlineStr">
        <is>
          <t>Meta : notoriété (vidéo)</t>
        </is>
      </c>
      <c r="B7" t="inlineStr">
        <is>
          <t>Les deux</t>
        </is>
      </c>
      <c r="C7" s="16" t="inlineStr"/>
      <c r="D7" s="16" t="inlineStr"/>
      <c r="E7" s="16" t="inlineStr"/>
      <c r="F7" s="16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Meta : essai et points de vente</t>
        </is>
      </c>
      <c r="B8" t="inlineStr">
        <is>
          <t>Les deux</t>
        </is>
      </c>
      <c r="C8" t="inlineStr"/>
      <c r="D8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</row>
    <row r="9">
      <c r="A9" t="inlineStr">
        <is>
          <t>TikTok : vidéos de créatrices</t>
        </is>
      </c>
      <c r="B9" t="inlineStr">
        <is>
          <t>Les deux</t>
        </is>
      </c>
      <c r="C9" s="16" t="inlineStr"/>
      <c r="D9" s="16" t="inlineStr"/>
      <c r="E9" s="16" t="inlineStr"/>
      <c r="F9" s="16" t="inlineStr"/>
      <c r="G9" t="inlineStr"/>
      <c r="H9" s="16" t="inlineStr"/>
      <c r="I9" s="16" t="inlineStr"/>
      <c r="J9" t="inlineStr"/>
      <c r="K9" t="inlineStr"/>
      <c r="L9" s="16" t="inlineStr"/>
      <c r="M9" s="16" t="inlineStr"/>
      <c r="N9" t="inlineStr"/>
    </row>
    <row r="10">
      <c r="A10" t="inlineStr">
        <is>
          <t>Bilan et choix du canal pour la réserve</t>
        </is>
      </c>
      <c r="B10" t="inlineStr">
        <is>
          <t>Commun</t>
        </is>
      </c>
      <c r="C10" t="inlineStr"/>
      <c r="D10" t="inlineStr"/>
      <c r="E10" t="inlineStr"/>
      <c r="F10" t="inlineStr"/>
      <c r="G10" t="inlineStr"/>
      <c r="H10" s="17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Réserve de performance</t>
        </is>
      </c>
      <c r="B11" t="inlineStr">
        <is>
          <t>Commun</t>
        </is>
      </c>
      <c r="C11" t="inlineStr"/>
      <c r="D11" t="inlineStr"/>
      <c r="E11" t="inlineStr"/>
      <c r="F11" t="inlineStr"/>
      <c r="G11" t="inlineStr"/>
      <c r="H11" t="inlineStr"/>
      <c r="I11" s="16" t="inlineStr"/>
      <c r="J11" s="16" t="inlineStr"/>
      <c r="K11" s="16" t="inlineStr"/>
      <c r="L11" t="inlineStr"/>
      <c r="M11" t="inlineStr"/>
      <c r="N11" t="inlineStr"/>
    </row>
    <row r="12">
      <c r="A12" t="inlineStr">
        <is>
          <t>Bilan final</t>
        </is>
      </c>
      <c r="B12" t="inlineStr">
        <is>
          <t>Commun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s="17" t="inlineStr"/>
    </row>
    <row r="14">
      <c r="A14" t="inlineStr">
        <is>
          <t>S1 = semaine de mise en rayon de la crème dans les deux pays (le Sénégal démarre les animations en S2).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4" customWidth="1" min="3" max="3"/>
    <col width="30" customWidth="1" min="4" max="4"/>
    <col width="46" customWidth="1" min="5" max="5"/>
  </cols>
  <sheetData>
    <row r="1">
      <c r="A1" s="4" t="inlineStr">
        <is>
          <t>Étape</t>
        </is>
      </c>
      <c r="B1" s="4" t="inlineStr">
        <is>
          <t>Indicateur</t>
        </is>
      </c>
      <c r="C1" s="4" t="inlineStr">
        <is>
          <t>Où on le lit</t>
        </is>
      </c>
      <c r="D1" s="4" t="inlineStr">
        <is>
          <t>Seuil d'alerte</t>
        </is>
      </c>
      <c r="E1" s="4" t="inlineStr">
        <is>
          <t>Décision si le seuil n'est pas atteint</t>
        </is>
      </c>
    </row>
    <row r="2">
      <c r="A2" s="10" t="inlineStr">
        <is>
          <t>Connaître</t>
        </is>
      </c>
      <c r="B2" s="10" t="inlineStr">
        <is>
          <t>Personnes touchées par pays (couverture)</t>
        </is>
      </c>
      <c r="C2" s="10" t="inlineStr">
        <is>
          <t>Meta Ads Manager, TikTok Ads</t>
        </is>
      </c>
      <c r="D2" s="10" t="inlineStr">
        <is>
          <t>Fixé en S1 sur le coût réel</t>
        </is>
      </c>
      <c r="E2" s="10" t="inlineStr">
        <is>
          <t>Changer la vidéo d'accroche</t>
        </is>
      </c>
    </row>
    <row r="3">
      <c r="A3" s="10" t="inlineStr">
        <is>
          <t>Connaître</t>
        </is>
      </c>
      <c r="B3" s="10" t="inlineStr">
        <is>
          <t>Taux de visionnage à 75 % des vidéos</t>
        </is>
      </c>
      <c r="C3" s="10" t="inlineStr">
        <is>
          <t>Meta Ads Manager, TikTok Ads</t>
        </is>
      </c>
      <c r="D3" s="10" t="inlineStr">
        <is>
          <t>Sous 15 %</t>
        </is>
      </c>
      <c r="E3" s="10" t="inlineStr">
        <is>
          <t>Raccourcir, mettre le produit dans les 3 premières secondes</t>
        </is>
      </c>
    </row>
    <row r="4">
      <c r="A4" s="10" t="inlineStr">
        <is>
          <t>Essayer</t>
        </is>
      </c>
      <c r="B4" s="10" t="inlineStr">
        <is>
          <t>Échantillons distribués par jour d'animation</t>
        </is>
      </c>
      <c r="C4" s="10" t="inlineStr">
        <is>
          <t>Fiche quotidienne des animatrices</t>
        </is>
      </c>
      <c r="D4" s="10" t="inlineStr">
        <is>
          <t>Sous la cible fixée en S1</t>
        </is>
      </c>
      <c r="E4" s="10" t="inlineStr">
        <is>
          <t>Changer de point de vente ou de créneau horaire</t>
        </is>
      </c>
    </row>
    <row r="5">
      <c r="A5" s="10" t="inlineStr">
        <is>
          <t>Essayer</t>
        </is>
      </c>
      <c r="B5" s="10" t="inlineStr">
        <is>
          <t>Coût par essai (dépense du canal divisée par les essais obtenus)</t>
        </is>
      </c>
      <c r="C5" s="10" t="inlineStr">
        <is>
          <t>Calcul hebdomadaire</t>
        </is>
      </c>
      <c r="D5" s="10" t="inlineStr">
        <is>
          <t>Le plus élevé des canaux en S6</t>
        </is>
      </c>
      <c r="E5" s="10" t="inlineStr">
        <is>
          <t>Le canal le moins cher reçoit la réserve</t>
        </is>
      </c>
    </row>
    <row r="6">
      <c r="A6" s="10" t="inlineStr">
        <is>
          <t>Acheter</t>
        </is>
      </c>
      <c r="B6" s="10" t="inlineStr">
        <is>
          <t>Ventes de la crème par enseigne et par semaine</t>
        </is>
      </c>
      <c r="C6" s="10" t="inlineStr">
        <is>
          <t>Remontées de la force de vente et des enseignes</t>
        </is>
      </c>
      <c r="D6" s="10" t="inlineStr">
        <is>
          <t>Pas de hausse après 4 semaines d'animation</t>
        </is>
      </c>
      <c r="E6" s="10" t="inlineStr">
        <is>
          <t>Revoir le prix d'appel ou le format d'essai</t>
        </is>
      </c>
    </row>
    <row r="7">
      <c r="A7" s="10" t="inlineStr">
        <is>
          <t>Acheter</t>
        </is>
      </c>
      <c r="B7" s="10" t="inlineStr">
        <is>
          <t>Rachat : part des ventes faites hors jours d'animation</t>
        </is>
      </c>
      <c r="C7" s="10" t="inlineStr">
        <is>
          <t>Remontées des enseignes</t>
        </is>
      </c>
      <c r="D7" s="10" t="inlineStr">
        <is>
          <t>Sous 50 % en S8</t>
        </is>
      </c>
      <c r="E7" s="10" t="inlineStr">
        <is>
          <t>Renforcer la preuve (avis, avant et après)</t>
        </is>
      </c>
    </row>
    <row r="8">
      <c r="A8" s="10" t="inlineStr">
        <is>
          <t>Parler</t>
        </is>
      </c>
      <c r="B8" s="10" t="inlineStr">
        <is>
          <t>Commentaires et messages reçus sur la crème</t>
        </is>
      </c>
      <c r="C8" s="10" t="inlineStr">
        <is>
          <t>Meta Business Suite, TikTok</t>
        </is>
      </c>
      <c r="D8" s="10" t="inlineStr">
        <is>
          <t>Hausse des avis négatifs</t>
        </is>
      </c>
      <c r="E8" s="10" t="inlineStr">
        <is>
          <t>Répondre sous 24 h, vérifier le lot concerné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  <col width="24" customWidth="1" min="3" max="3"/>
  </cols>
  <sheetData>
    <row r="1">
      <c r="A1" s="4" t="inlineStr">
        <is>
          <t>Point</t>
        </is>
      </c>
      <c r="B1" s="4" t="inlineStr">
        <is>
          <t>Pourquoi</t>
        </is>
      </c>
      <c r="C1" s="4" t="inlineStr">
        <is>
          <t>Qui</t>
        </is>
      </c>
    </row>
    <row r="2">
      <c r="A2" s="10" t="inlineStr">
        <is>
          <t>Nom, promesse et prix public de la crème</t>
        </is>
      </c>
      <c r="B2" s="10" t="inlineStr">
        <is>
          <t>Toutes les publicités et la PLV en dépendent</t>
        </is>
      </c>
      <c r="C2" s="10" t="inlineStr">
        <is>
          <t>Direction marque</t>
        </is>
      </c>
    </row>
    <row r="3">
      <c r="A3" s="10" t="inlineStr">
        <is>
          <t>Composition et allégations validées</t>
        </is>
      </c>
      <c r="B3" s="10" t="inlineStr">
        <is>
          <t>Si la crème est éclaircissante ou « clarifiante », la publicité en radio et télévision est interdite au Sénégal, et Meta encadre ces messages : la promesse doit parler d'hydratation, d'éclat ou d'uniformité, jamais de blanchiment</t>
        </is>
      </c>
      <c r="C3" s="10" t="inlineStr">
        <is>
          <t>Affaires réglementaires</t>
        </is>
      </c>
    </row>
    <row r="4">
      <c r="A4" s="10" t="inlineStr">
        <is>
          <t>Enregistrement du produit au Sénégal</t>
        </is>
      </c>
      <c r="B4" s="10" t="inlineStr">
        <is>
          <t>La crème doit être autorisée à la vente avant toute dépense de publicité</t>
        </is>
      </c>
      <c r="C4" s="10" t="inlineStr">
        <is>
          <t>Affaires réglementaires</t>
        </is>
      </c>
    </row>
    <row r="5">
      <c r="A5" s="10" t="inlineStr">
        <is>
          <t>Liste des enseignes et points de vente par pays</t>
        </is>
      </c>
      <c r="B5" s="10" t="inlineStr">
        <is>
          <t>Les animations et la publicité locale en dépendent</t>
        </is>
      </c>
      <c r="C5" s="10" t="inlineStr">
        <is>
          <t>Direction commerciale</t>
        </is>
      </c>
    </row>
    <row r="6">
      <c r="A6" s="10" t="inlineStr">
        <is>
          <t>Nombre d'échantillons disponibles</t>
        </is>
      </c>
      <c r="B6" s="10" t="inlineStr">
        <is>
          <t>Il conditionne le nombre de jours d'animation</t>
        </is>
      </c>
      <c r="C6" s="10" t="inlineStr">
        <is>
          <t>Usine</t>
        </is>
      </c>
    </row>
    <row r="7">
      <c r="A7" s="10" t="inlineStr">
        <is>
          <t>Comptes publicitaires Meta et TikTok</t>
        </is>
      </c>
      <c r="B7" s="10" t="inlineStr">
        <is>
          <t>Un compte par pays, avec moyen de paiement</t>
        </is>
      </c>
      <c r="C7" s="10" t="inlineStr">
        <is>
          <t>Direction marque</t>
        </is>
      </c>
    </row>
    <row r="8">
      <c r="A8" s="10" t="inlineStr">
        <is>
          <t>Contrats des créatrices</t>
        </is>
      </c>
      <c r="B8" s="10" t="inlineStr">
        <is>
          <t>Mention « partenariat » visible sur chaque publication</t>
        </is>
      </c>
      <c r="C8" s="10" t="inlineStr">
        <is>
          <t>Direction marque</t>
        </is>
      </c>
    </row>
    <row r="9">
      <c r="A9" s="10" t="inlineStr">
        <is>
          <t>Devis réels des prestataires</t>
        </is>
      </c>
      <c r="B9" s="10" t="inlineStr">
        <is>
          <t>Les montants de ce plan sont des enveloppes : ils se confirment sur devis</t>
        </is>
      </c>
      <c r="C9" s="10" t="inlineStr">
        <is>
          <t>Direction marque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2026-10-19T12:14:06Z</dcterms:created>
  <dcterms:modified xmlns:dcterms="http://purl.org/dc/terms/" xmlns:xsi="http://www.w3.org/2001/XMLSchema-instance" xsi:type="dcterms:W3CDTF">2026-10-19T12:14:06Z</dcterms:modified>
</cp:coreProperties>
</file>