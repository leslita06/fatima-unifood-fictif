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rier novembre" sheetId="1" state="visible" r:id="rId1"/>
    <sheet xmlns:r="http://schemas.openxmlformats.org/officeDocument/2006/relationships" name="Répartition" sheetId="2" state="visible" r:id="rId2"/>
    <sheet xmlns:r="http://schemas.openxmlformats.org/officeDocument/2006/relationships" name="Temps forts" sheetId="3" state="visible" r:id="rId3"/>
    <sheet xmlns:r="http://schemas.openxmlformats.org/officeDocument/2006/relationships" name="Relevé du compte" sheetId="4" state="visible" r:id="rId4"/>
    <sheet xmlns:r="http://schemas.openxmlformats.org/officeDocument/2006/relationships" name="Mode d'emploi" sheetId="5" state="visible" r:id="rId5"/>
  </sheets>
  <definedNames>
    <definedName name="_xlnm._FilterDatabase" localSheetId="0" hidden="1">'Calendrier novembre'!$A$5:$R$30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ontserrat"/>
      <b val="1"/>
      <color rgb="000B0249"/>
      <sz val="18"/>
    </font>
    <font>
      <name val="Montserrat"/>
      <color rgb="005B6070"/>
    </font>
    <font>
      <name val="Montserrat"/>
      <i val="1"/>
      <color rgb="005B6070"/>
    </font>
    <font>
      <name val="Montserrat"/>
      <b val="1"/>
      <color rgb="00FFFFFF"/>
    </font>
    <font>
      <name val="Montserrat"/>
      <color rgb="002B2A35"/>
      <sz val="10"/>
    </font>
    <font>
      <name val="Montserrat"/>
      <b val="1"/>
      <color rgb="000B0249"/>
      <sz val="10"/>
    </font>
    <font>
      <name val="Montserrat"/>
      <b val="1"/>
      <color rgb="000B0249"/>
      <sz val="14"/>
    </font>
    <font>
      <name val="Montserrat"/>
      <sz val="10"/>
    </font>
    <font>
      <name val="Montserrat"/>
      <b val="1"/>
      <color rgb="000B0249"/>
    </font>
  </fonts>
  <fills count="4">
    <fill>
      <patternFill/>
    </fill>
    <fill>
      <patternFill patternType="gray125"/>
    </fill>
    <fill>
      <patternFill patternType="solid">
        <fgColor rgb="000B0249"/>
      </patternFill>
    </fill>
    <fill>
      <patternFill patternType="solid">
        <fgColor rgb="00F4FBFB"/>
      </patternFill>
    </fill>
  </fills>
  <borders count="2">
    <border>
      <left/>
      <right/>
      <top/>
      <bottom/>
      <diagonal/>
    </border>
    <border>
      <left style="thin">
        <color rgb="00D6E4E8"/>
      </left>
      <right style="thin">
        <color rgb="00D6E4E8"/>
      </right>
      <top style="thin">
        <color rgb="00D6E4E8"/>
      </top>
      <bottom style="thin">
        <color rgb="00D6E4E8"/>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7" fillId="0" borderId="0" pivotButton="0" quotePrefix="0" xfId="0"/>
    <xf numFmtId="0" fontId="4" fillId="2" borderId="1" pivotButton="0" quotePrefix="0" xfId="0"/>
    <xf numFmtId="0" fontId="0" fillId="0" borderId="1" pivotButton="0" quotePrefix="0" xfId="0"/>
    <xf numFmtId="0" fontId="8" fillId="0" borderId="1" applyAlignment="1" pivotButton="0" quotePrefix="0" xfId="0">
      <alignment vertical="top" wrapText="1"/>
    </xf>
    <xf numFmtId="0" fontId="9" fillId="0" borderId="1" pivotButton="0" quotePrefix="0" xfId="0"/>
    <xf numFmtId="0" fontId="8" fillId="0" borderId="0" applyAlignment="1" pivotButton="0" quotePrefix="0" xfId="0">
      <alignment vertical="top" wrapText="1"/>
    </xf>
  </cellXfs>
  <cellStyles count="1">
    <cellStyle name="Normal" xfId="0" builtinId="0" hidden="0"/>
  </cellStyles>
  <dxfs count="2">
    <dxf>
      <fill>
        <patternFill patternType="solid">
          <fgColor rgb="00D9F2E6"/>
        </patternFill>
      </fill>
    </dxf>
    <dxf>
      <fill>
        <patternFill patternType="solid">
          <fgColor rgb="00E6E6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695450" cy="428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B0249"/>
    <outlinePr summaryBelow="1" summaryRight="1"/>
    <pageSetUpPr/>
  </sheetPr>
  <dimension ref="A1:R3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6" customWidth="1" min="2" max="2"/>
    <col width="7" customWidth="1" min="3" max="3"/>
    <col width="22" customWidth="1" min="4" max="4"/>
    <col width="20" customWidth="1" min="5" max="5"/>
    <col width="20" customWidth="1" min="6" max="6"/>
    <col width="20" customWidth="1" min="7" max="7"/>
    <col width="34" customWidth="1" min="8" max="8"/>
    <col width="34" customWidth="1" min="9" max="9"/>
    <col width="30" customWidth="1" min="10" max="10"/>
    <col width="70" customWidth="1" min="11" max="11"/>
    <col width="40" customWidth="1" min="12" max="12"/>
    <col width="26" customWidth="1" min="13" max="13"/>
    <col width="24" customWidth="1" min="14" max="14"/>
    <col width="9" customWidth="1" min="15" max="15"/>
    <col width="34" customWidth="1" min="16" max="16"/>
    <col width="22" customWidth="1" min="17" max="17"/>
    <col width="13" customWidth="1" min="18" max="18"/>
  </cols>
  <sheetData>
    <row r="1" ht="48" customHeight="1">
      <c r="C1" s="1" t="inlineStr">
        <is>
          <t>Calendrier éditorial, novembre 2026</t>
        </is>
      </c>
    </row>
    <row r="2">
      <c r="C2" s="2" t="inlineStr">
        <is>
          <t>Instagram, Facebook, LinkedIn, stories et newsletter · Fil rouge du mois : santé des hommes (Movember) et prévention</t>
        </is>
      </c>
    </row>
    <row r="3">
      <c r="C3" s="3" t="inlineStr">
        <is>
          <t>Rien ne part sans validation : chaque post passe de « À valider » à « Validé » avant programmation.</t>
        </is>
      </c>
    </row>
    <row r="5">
      <c r="A5" s="4" t="inlineStr">
        <is>
          <t>Date</t>
        </is>
      </c>
      <c r="B5" s="4" t="inlineStr">
        <is>
          <t>Jour</t>
        </is>
      </c>
      <c r="C5" s="4" t="inlineStr">
        <is>
          <t>Heure</t>
        </is>
      </c>
      <c r="D5" s="4" t="inlineStr">
        <is>
          <t>Canal</t>
        </is>
      </c>
      <c r="E5" s="4" t="inlineStr">
        <is>
          <t>Format</t>
        </is>
      </c>
      <c r="F5" s="4" t="inlineStr">
        <is>
          <t>Pilier</t>
        </is>
      </c>
      <c r="G5" s="4" t="inlineStr">
        <is>
          <t>Cible</t>
        </is>
      </c>
      <c r="H5" s="4" t="inlineStr">
        <is>
          <t>Sujet</t>
        </is>
      </c>
      <c r="I5" s="4" t="inlineStr">
        <is>
          <t>Accroche A</t>
        </is>
      </c>
      <c r="J5" s="4" t="inlineStr">
        <is>
          <t>Accroche B (à tester)</t>
        </is>
      </c>
      <c r="K5" s="4" t="inlineStr">
        <is>
          <t>Légende</t>
        </is>
      </c>
      <c r="L5" s="4" t="inlineStr">
        <is>
          <t>Hashtags (Instagram, LinkedIn)</t>
        </is>
      </c>
      <c r="M5" s="4" t="inlineStr">
        <is>
          <t>Hashtags Facebook</t>
        </is>
      </c>
      <c r="N5" s="4" t="inlineStr">
        <is>
          <t>Appel à l'action</t>
        </is>
      </c>
      <c r="O5" s="4" t="inlineStr">
        <is>
          <t>Intention</t>
        </is>
      </c>
      <c r="P5" s="4" t="inlineStr">
        <is>
          <t>À fournir par l'équipe</t>
        </is>
      </c>
      <c r="Q5" s="4" t="inlineStr">
        <is>
          <t>Validation par</t>
        </is>
      </c>
      <c r="R5" s="4" t="inlineStr">
        <is>
          <t>Statut</t>
        </is>
      </c>
    </row>
    <row r="6" ht="80" customHeight="1">
      <c r="A6" s="5" t="inlineStr">
        <is>
          <t>2026-11-01</t>
        </is>
      </c>
      <c r="B6" s="5" t="inlineStr">
        <is>
          <t>Dim</t>
        </is>
      </c>
      <c r="C6" s="5" t="inlineStr">
        <is>
          <t>10:00</t>
        </is>
      </c>
      <c r="D6" s="5" t="inlineStr">
        <is>
          <t>Stories Instagram + Facebook, statut WhatsApp</t>
        </is>
      </c>
      <c r="E6" s="5" t="inlineStr">
        <is>
          <t>Story fixe 9:16</t>
        </is>
      </c>
      <c r="F6" s="5" t="inlineStr">
        <is>
          <t>Temps fort (sobre)</t>
        </is>
      </c>
      <c r="G6" s="5" t="inlineStr">
        <is>
          <t>Communauté</t>
        </is>
      </c>
      <c r="H6" s="6" t="inlineStr">
        <is>
          <t>Toussaint : pensée pour les familles</t>
        </is>
      </c>
      <c r="I6" s="5" t="inlineStr">
        <is>
          <t>Une pensée pour celles et ceux qui nous ont quittés.</t>
        </is>
      </c>
      <c r="J6" s="5" t="inlineStr"/>
      <c r="K6" s="5" t="inlineStr">
        <is>
          <t>En ce jour de Toussaint, toute l'équipe de La Ruche Health a une pensée pour les familles et pour celles et ceux qui nous ont quittés.</t>
        </is>
      </c>
      <c r="L6" s="5" t="inlineStr"/>
      <c r="M6" s="5" t="inlineStr"/>
      <c r="N6" s="5" t="inlineStr">
        <is>
          <t>Aucun</t>
        </is>
      </c>
      <c r="O6" s="5" t="inlineStr">
        <is>
          <t>—</t>
        </is>
      </c>
      <c r="P6" s="5" t="inlineStr">
        <is>
          <t>Visuel sobre aux couleurs de la marque, sans produit ni lien</t>
        </is>
      </c>
      <c r="Q6" s="5" t="inlineStr">
        <is>
          <t>Direction</t>
        </is>
      </c>
      <c r="R6" s="5" t="inlineStr">
        <is>
          <t>À valider</t>
        </is>
      </c>
    </row>
    <row r="7" ht="150" customHeight="1">
      <c r="A7" s="7" t="inlineStr">
        <is>
          <t>2026-11-03</t>
        </is>
      </c>
      <c r="B7" s="7" t="inlineStr">
        <is>
          <t>Mar</t>
        </is>
      </c>
      <c r="C7" s="7" t="inlineStr">
        <is>
          <t>13:00</t>
        </is>
      </c>
      <c r="D7" s="7" t="inlineStr">
        <is>
          <t>Instagram + Facebook</t>
        </is>
      </c>
      <c r="E7" s="7" t="inlineStr">
        <is>
          <t>Carrousel 4:5 (5 vues)</t>
        </is>
      </c>
      <c r="F7" s="7" t="inlineStr">
        <is>
          <t>Campagne santé du mois</t>
        </is>
      </c>
      <c r="G7" s="7" t="inlineStr">
        <is>
          <t>Hommes 25-55 ans et leurs proches</t>
        </is>
      </c>
      <c r="H7" s="8" t="inlineStr">
        <is>
          <t>Lancement de Movember : novembre, on parle santé des hommes</t>
        </is>
      </c>
      <c r="I7" s="7" t="inlineStr">
        <is>
          <t>Messieurs, à quand remonte votre dernier bilan ?</t>
        </is>
      </c>
      <c r="J7" s="7" t="inlineStr">
        <is>
          <t>Novembre, le mois où les hommes ont le droit de parler de leur santé.</t>
        </is>
      </c>
      <c r="K7" s="7" t="inlineStr">
        <is>
          <t>Messieurs, à quand remonte votre dernier bilan ?
Novembre, c'est Movember : le mois où l'on parle santé masculine, sans gêne et sans tabou.
Prostate, troubles urinaires, fertilité, stress, cœur : beaucoup d'hommes attendent d'avoir mal pour consulter.
Tout le mois, nos spécialistes répondent à vos questions :
- Urologue
- Médecin généraliste
- Nutritionniste
- Psychologue
Vous pouvez aussi poser votre question à Kiko sur WhatsApp, en toute discrétion.
📲 Téléchargez La Ruche Health et prenez rendez-vous.
🔗 Lien en bio.</t>
        </is>
      </c>
      <c r="L7" s="7" t="inlineStr">
        <is>
          <t>#LaRucheHealth #Téléconsultation #SantéDigitale #Santé #Prévention #SantéPourTous #AccèsAuxSoins #CotedIvoire #Movember #SantéMasculine #SantéDesHommes #Urologie</t>
        </is>
      </c>
      <c r="M7" s="7" t="inlineStr">
        <is>
          <t>#LaRucheHealth #Movember #SantéMasculine</t>
        </is>
      </c>
      <c r="N7" s="7" t="inlineStr">
        <is>
          <t>Prendre rendez-vous (lien en bio)</t>
        </is>
      </c>
      <c r="O7" s="7" t="inlineStr">
        <is>
          <t>TOFU</t>
        </is>
      </c>
      <c r="P7" s="7" t="inlineStr">
        <is>
          <t>5 vues du carrousel (photo d'un homme ivoirien 35-50 ans), spécialités réellement disponibles en novembre</t>
        </is>
      </c>
      <c r="Q7" s="7" t="inlineStr">
        <is>
          <t>Médecin référent</t>
        </is>
      </c>
      <c r="R7" s="7" t="inlineStr">
        <is>
          <t>À valider</t>
        </is>
      </c>
    </row>
    <row r="8" ht="150" customHeight="1">
      <c r="A8" s="5" t="inlineStr">
        <is>
          <t>2026-11-03</t>
        </is>
      </c>
      <c r="B8" s="5" t="inlineStr">
        <is>
          <t>Mar</t>
        </is>
      </c>
      <c r="C8" s="5" t="inlineStr">
        <is>
          <t>09:00</t>
        </is>
      </c>
      <c r="D8" s="5" t="inlineStr">
        <is>
          <t>LinkedIn</t>
        </is>
      </c>
      <c r="E8" s="5" t="inlineStr">
        <is>
          <t>Post texte + 1 image</t>
        </is>
      </c>
      <c r="F8" s="5" t="inlineStr">
        <is>
          <t>Kiko et la donnée santé</t>
        </is>
      </c>
      <c r="G8" s="5" t="inlineStr">
        <is>
          <t>Partenaires, bailleurs, médecins</t>
        </is>
      </c>
      <c r="H8" s="6" t="inlineStr">
        <is>
          <t>Ce que les hommes demandent à Kiko (et ce qu'ils n'osent pas demander en cabinet)</t>
        </is>
      </c>
      <c r="I8" s="5" t="inlineStr">
        <is>
          <t>Les hommes consultent peu. Mais ils écrivent à Kiko.</t>
        </is>
      </c>
      <c r="J8" s="5" t="inlineStr">
        <is>
          <t>Movember commence. Nos données disent quelque chose que les cabinets ne voient pas.</t>
        </is>
      </c>
      <c r="K8" s="5" t="inlineStr">
        <is>
          <t>Les hommes consultent peu. Mais ils écrivent à Kiko.
Plus de 300 000 questions de santé ont déjà reçu une réponse de Kiko, souvent posées tard le soir, en privé.
Ce que nos données montrent sur la santé masculine : ⟦3 enseignements anonymisés à fournir par l'équipe produit⟧.
Ce mois-ci, nous ouvrons la conversation avec nos urologues, généralistes et psychologues.
Parce qu'un homme qui pose la question en privé est un homme qu'on peut orienter vers le bon spécialiste.
#Movember #SantéDigitale #HealthTech</t>
        </is>
      </c>
      <c r="L8" s="5" t="inlineStr">
        <is>
          <t>#Movember #SantéDigitale #HealthTech</t>
        </is>
      </c>
      <c r="M8" s="5" t="inlineStr"/>
      <c r="N8" s="5" t="inlineStr">
        <is>
          <t>Commenter, partager</t>
        </is>
      </c>
      <c r="O8" s="5" t="inlineStr">
        <is>
          <t>TOFU</t>
        </is>
      </c>
      <c r="P8" s="5" t="inlineStr">
        <is>
          <t>3 chiffres anonymisés issus de Kiko (questions des hommes, sujets, heures)</t>
        </is>
      </c>
      <c r="Q8" s="5" t="inlineStr">
        <is>
          <t>Direction + produit</t>
        </is>
      </c>
      <c r="R8" s="5" t="inlineStr">
        <is>
          <t>À valider</t>
        </is>
      </c>
    </row>
    <row r="9" ht="150" customHeight="1">
      <c r="A9" s="7" t="inlineStr">
        <is>
          <t>2026-11-04</t>
        </is>
      </c>
      <c r="B9" s="7" t="inlineStr">
        <is>
          <t>Mer</t>
        </is>
      </c>
      <c r="C9" s="7" t="inlineStr">
        <is>
          <t>12:00</t>
        </is>
      </c>
      <c r="D9" s="7" t="inlineStr">
        <is>
          <t>Instagram + Facebook + LinkedIn</t>
        </is>
      </c>
      <c r="E9" s="7" t="inlineStr">
        <is>
          <t>Vidéo verticale 9:16, 60-75 s</t>
        </is>
      </c>
      <c r="F9" s="7" t="inlineStr">
        <is>
          <t>La Ruche Pro (médecins)</t>
        </is>
      </c>
      <c r="G9" s="7" t="inlineStr">
        <is>
          <t>Médecins et spécialistes</t>
        </is>
      </c>
      <c r="H9" s="8" t="inlineStr">
        <is>
          <t>L'Ordonnance du Dr Allé, épisode 6 : vos paiements et vos revenus sur La Ruche Pro</t>
        </is>
      </c>
      <c r="I9" s="7" t="inlineStr">
        <is>
          <t>Le patient a payé. Et vous, quand êtes-vous payé ?</t>
        </is>
      </c>
      <c r="J9" s="7" t="inlineStr">
        <is>
          <t>Épisode 6 : on parle argent, sans détour.</t>
        </is>
      </c>
      <c r="K9" s="7" t="inlineStr">
        <is>
          <t>L'Ordonnance du Dr Allé, épisode 6
Le patient a réservé, il a payé. Et vous, quand êtes-vous payé ?
Dans ce nouvel épisode, Dr Allé vous montre comment suivre vos consultations et vos revenus depuis La Ruche Pro.
Vous êtes professionnel de santé ? Rejoignez le réseau La Ruche Health.
🔗 Lien en bio.</t>
        </is>
      </c>
      <c r="L9" s="7" t="inlineStr">
        <is>
          <t>#LaRucheHealth #Téléconsultation #SantéDigitale #Santé #Prévention #SantéPourTous #AccèsAuxSoins #CotedIvoire #LaRuchePro #Médecins #eSanté</t>
        </is>
      </c>
      <c r="M9" s="7" t="inlineStr">
        <is>
          <t>#LaRucheHealth #LaRuchePro #Médecins</t>
        </is>
      </c>
      <c r="N9" s="7" t="inlineStr">
        <is>
          <t>Rejoindre le réseau (formulaire)</t>
        </is>
      </c>
      <c r="O9" s="7" t="inlineStr">
        <is>
          <t>MOFU</t>
        </is>
      </c>
      <c r="P9" s="7" t="inlineStr">
        <is>
          <t>Tournage de l'épisode 6 (sujet à confirmer par l'équipe)</t>
        </is>
      </c>
      <c r="Q9" s="7" t="inlineStr">
        <is>
          <t>Équipe produit</t>
        </is>
      </c>
      <c r="R9" s="7" t="inlineStr">
        <is>
          <t>À valider</t>
        </is>
      </c>
    </row>
    <row r="10" ht="150" customHeight="1">
      <c r="A10" s="5" t="inlineStr">
        <is>
          <t>2026-11-05</t>
        </is>
      </c>
      <c r="B10" s="5" t="inlineStr">
        <is>
          <t>Jeu</t>
        </is>
      </c>
      <c r="C10" s="5" t="inlineStr">
        <is>
          <t>13:00</t>
        </is>
      </c>
      <c r="D10" s="5" t="inlineStr">
        <is>
          <t>Instagram + Facebook</t>
        </is>
      </c>
      <c r="E10" s="5" t="inlineStr">
        <is>
          <t>Vidéo verticale 9:16, 60-90 s (Reel)</t>
        </is>
      </c>
      <c r="F10" s="5" t="inlineStr">
        <is>
          <t>Éducation avec un spécialiste</t>
        </is>
      </c>
      <c r="G10" s="5" t="inlineStr">
        <is>
          <t>Hommes 35-60 ans, leurs épouses et enfants</t>
        </is>
      </c>
      <c r="H10" s="6" t="inlineStr">
        <is>
          <t>Un urologue répond : la prostate, à quel âge on en parle ?</t>
        </is>
      </c>
      <c r="I10" s="5" t="inlineStr">
        <is>
          <t>La prostate, à quel âge faut-il en parler à son médecin ?</t>
        </is>
      </c>
      <c r="J10" s="5" t="inlineStr">
        <is>
          <t>Uriner souvent la nuit, c'est l'âge… ou pas ?</t>
        </is>
      </c>
      <c r="K10" s="5" t="inlineStr">
        <is>
          <t>La prostate, à quel âge faut-il en parler à son médecin ?
Uriner souvent la nuit, avoir du mal à vider sa vessie : beaucoup d'hommes pensent que « c'est l'âge ».
Dr ⟦nom⟧, urologue sur La Ruche Health, vous explique quand consulter et comment se passe un premier rendez-vous.
Une question ? Posez-la en commentaire, Dr ⟦nom⟧ y répondra.
📲 Téléchargez La Ruche Health et prenez rendez-vous.
🔗 Lien en bio.</t>
        </is>
      </c>
      <c r="L10" s="5" t="inlineStr">
        <is>
          <t>#LaRucheHealth #Téléconsultation #SantéDigitale #Santé #Prévention #SantéPourTous #AccèsAuxSoins #CotedIvoire #Movember #SantéMasculine #Prostate #Urologie</t>
        </is>
      </c>
      <c r="M10" s="5" t="inlineStr">
        <is>
          <t>#LaRucheHealth #Movember #Prostate</t>
        </is>
      </c>
      <c r="N10" s="5" t="inlineStr">
        <is>
          <t>Commenter / prendre rendez-vous</t>
        </is>
      </c>
      <c r="O10" s="5" t="inlineStr">
        <is>
          <t>TOFU</t>
        </is>
      </c>
      <c r="P10" s="5" t="inlineStr">
        <is>
          <t>Tournage avec un urologue du réseau, sous-titres</t>
        </is>
      </c>
      <c r="Q10" s="5" t="inlineStr">
        <is>
          <t>Urologue (contenu médical)</t>
        </is>
      </c>
      <c r="R10" s="5" t="inlineStr">
        <is>
          <t>À valider</t>
        </is>
      </c>
    </row>
    <row r="11" ht="150" customHeight="1">
      <c r="A11" s="7" t="inlineStr">
        <is>
          <t>2026-11-07</t>
        </is>
      </c>
      <c r="B11" s="7" t="inlineStr">
        <is>
          <t>Sam</t>
        </is>
      </c>
      <c r="C11" s="7" t="inlineStr">
        <is>
          <t>13:00</t>
        </is>
      </c>
      <c r="D11" s="7" t="inlineStr">
        <is>
          <t>Instagram + Facebook</t>
        </is>
      </c>
      <c r="E11" s="7" t="inlineStr">
        <is>
          <t>Image 4:5</t>
        </is>
      </c>
      <c r="F11" s="7" t="inlineStr">
        <is>
          <t>Médecin de la semaine</t>
        </is>
      </c>
      <c r="G11" s="7" t="inlineStr">
        <is>
          <t>Patients</t>
        </is>
      </c>
      <c r="H11" s="8" t="inlineStr">
        <is>
          <t>Médecin de la semaine : un urologue du réseau</t>
        </is>
      </c>
      <c r="I11" s="7" t="inlineStr">
        <is>
          <t>Médecin de la semaine | Dr ⟦nom⟧, urologue</t>
        </is>
      </c>
      <c r="J11" s="7" t="inlineStr"/>
      <c r="K11" s="7" t="inlineStr">
        <is>
          <t>Médecin de la semaine | Dr ⟦nom⟧
Cette semaine, découvrez Dr ⟦nom⟧, urologue, ⟦années⟧ ans d'expérience.
Il vous accompagne pour ⟦3 motifs de consultation⟧, en téléconsultation ou ⟦au cabinet / à domicile⟧.
Prenez rendez-vous avec Dr ⟦nom⟧ sur La Ruche Health.
🔗 Lien en bio.</t>
        </is>
      </c>
      <c r="L11" s="7" t="inlineStr">
        <is>
          <t>#LaRucheHealth #Téléconsultation #SantéDigitale #Santé #Prévention #SantéPourTous #AccèsAuxSoins #CotedIvoire #MédecinDeLaSemaine #Urologie #Movember</t>
        </is>
      </c>
      <c r="M11" s="7" t="inlineStr">
        <is>
          <t>#LaRucheHealth #MédecinDeLaSemaine</t>
        </is>
      </c>
      <c r="N11" s="7" t="inlineStr">
        <is>
          <t>Prendre rendez-vous</t>
        </is>
      </c>
      <c r="O11" s="7" t="inlineStr">
        <is>
          <t>BOFU</t>
        </is>
      </c>
      <c r="P11" s="7" t="inlineStr">
        <is>
          <t>Photo, fiche et accord du médecin</t>
        </is>
      </c>
      <c r="Q11" s="7" t="inlineStr">
        <is>
          <t>Médecin concerné</t>
        </is>
      </c>
      <c r="R11" s="7" t="inlineStr">
        <is>
          <t>À valider</t>
        </is>
      </c>
    </row>
    <row r="12" ht="150" customHeight="1">
      <c r="A12" s="5" t="inlineStr">
        <is>
          <t>2026-11-10</t>
        </is>
      </c>
      <c r="B12" s="5" t="inlineStr">
        <is>
          <t>Mar</t>
        </is>
      </c>
      <c r="C12" s="5" t="inlineStr">
        <is>
          <t>13:00</t>
        </is>
      </c>
      <c r="D12" s="5" t="inlineStr">
        <is>
          <t>Instagram + Facebook</t>
        </is>
      </c>
      <c r="E12" s="5" t="inlineStr">
        <is>
          <t>Carrousel 4:5 (4 vues)</t>
        </is>
      </c>
      <c r="F12" s="5" t="inlineStr">
        <is>
          <t>Kiko et l'application</t>
        </is>
      </c>
      <c r="G12" s="5" t="inlineStr">
        <is>
          <t>Jeunes 18-35 ans</t>
        </is>
      </c>
      <c r="H12" s="6" t="inlineStr">
        <is>
          <t>Une question gênante ? Kiko répond sur WhatsApp, à toute heure</t>
        </is>
      </c>
      <c r="I12" s="5" t="inlineStr">
        <is>
          <t>Il est 23 h et vous avez une question que vous n'osez poser à personne ?</t>
        </is>
      </c>
      <c r="J12" s="5" t="inlineStr">
        <is>
          <t>La question que vous n'osez pas poser, posez-la à Kiko.</t>
        </is>
      </c>
      <c r="K12" s="5" t="inlineStr">
        <is>
          <t>Il est 23 h et vous avez une question que vous n'osez poser à personne ?
Kiko, l'assistant santé de La Ruche Health, vous répond sur WhatsApp, par écrit, par note vocale ou en photo.
Et si votre situation le demande, Kiko vous oriente vers le bon spécialiste.
Kiko ne remplace pas votre médecin : il vous aide à faire le premier pas.
💬 Écrivez à Kiko sur WhatsApp : +225 05 00 95 57 97</t>
        </is>
      </c>
      <c r="L12" s="5" t="inlineStr">
        <is>
          <t>#LaRucheHealth #Téléconsultation #SantéDigitale #Santé #Prévention #SantéPourTous #AccèsAuxSoins #CotedIvoire #Kiko #DemandeÀKiko #SantéSexuelle #SantéMentale</t>
        </is>
      </c>
      <c r="M12" s="5" t="inlineStr">
        <is>
          <t>#LaRucheHealth #Kiko</t>
        </is>
      </c>
      <c r="N12" s="5" t="inlineStr">
        <is>
          <t>Écrire à Kiko sur WhatsApp</t>
        </is>
      </c>
      <c r="O12" s="5" t="inlineStr">
        <is>
          <t>MOFU</t>
        </is>
      </c>
      <c r="P12" s="5" t="inlineStr">
        <is>
          <t>Captures d'écran d'une conversation type (anonymisée)</t>
        </is>
      </c>
      <c r="Q12" s="5" t="inlineStr">
        <is>
          <t>Direction</t>
        </is>
      </c>
      <c r="R12" s="5" t="inlineStr">
        <is>
          <t>À valider</t>
        </is>
      </c>
    </row>
    <row r="13" ht="150" customHeight="1">
      <c r="A13" s="7" t="inlineStr">
        <is>
          <t>2026-11-10</t>
        </is>
      </c>
      <c r="B13" s="7" t="inlineStr">
        <is>
          <t>Mar</t>
        </is>
      </c>
      <c r="C13" s="7" t="inlineStr">
        <is>
          <t>09:00</t>
        </is>
      </c>
      <c r="D13" s="7" t="inlineStr">
        <is>
          <t>LinkedIn</t>
        </is>
      </c>
      <c r="E13" s="7" t="inlineStr">
        <is>
          <t>Post texte + visuel</t>
        </is>
      </c>
      <c r="F13" s="7" t="inlineStr">
        <is>
          <t>La Ruche Pro (médecins)</t>
        </is>
      </c>
      <c r="G13" s="7" t="inlineStr">
        <is>
          <t>Spécialistes non encore inscrits</t>
        </is>
      </c>
      <c r="H13" s="8" t="inlineStr">
        <is>
          <t>Rejoindre le réseau : ce que La Ruche Pro change dans une semaine de consultation</t>
        </is>
      </c>
      <c r="I13" s="7" t="inlineStr">
        <is>
          <t>Être un excellent médecin ne suffit pas. Encore faut-il qu'on vous trouve.</t>
        </is>
      </c>
      <c r="J13" s="7" t="inlineStr"/>
      <c r="K13" s="7" t="inlineStr">
        <is>
          <t>Être un excellent médecin ne suffit pas. Encore faut-il que vos patients vous trouvent.
Sur La Ruche Health, un spécialiste dispose d'un profil, d'un lien de réservation, du paiement intégré, de la téléconsultation et du dossier patient numérique.
Kiko, notre assistant, oriente vers vous les patients qui ont besoin de votre spécialité.
Nous recherchons ce mois-ci des ⟦spécialités recherchées⟧.
👉 Rejoignez le réseau : ⟦lien du formulaire⟧
#eSanté #Télémédecine #CôtedIvoire</t>
        </is>
      </c>
      <c r="L13" s="7" t="inlineStr">
        <is>
          <t>#eSanté #Télémédecine #CôtedIvoire</t>
        </is>
      </c>
      <c r="M13" s="7" t="inlineStr"/>
      <c r="N13" s="7" t="inlineStr">
        <is>
          <t>Remplir le formulaire d'inscription</t>
        </is>
      </c>
      <c r="O13" s="7" t="inlineStr">
        <is>
          <t>BOFU</t>
        </is>
      </c>
      <c r="P13" s="7" t="inlineStr">
        <is>
          <t>Spécialités prioritaires à recruter</t>
        </is>
      </c>
      <c r="Q13" s="7" t="inlineStr">
        <is>
          <t>Direction</t>
        </is>
      </c>
      <c r="R13" s="7" t="inlineStr">
        <is>
          <t>À valider</t>
        </is>
      </c>
    </row>
    <row r="14" ht="150" customHeight="1">
      <c r="A14" s="5" t="inlineStr">
        <is>
          <t>2026-11-12</t>
        </is>
      </c>
      <c r="B14" s="5" t="inlineStr">
        <is>
          <t>Jeu</t>
        </is>
      </c>
      <c r="C14" s="5" t="inlineStr">
        <is>
          <t>13:00</t>
        </is>
      </c>
      <c r="D14" s="5" t="inlineStr">
        <is>
          <t>Instagram + Facebook</t>
        </is>
      </c>
      <c r="E14" s="5" t="inlineStr">
        <is>
          <t>Vidéo verticale 9:16, 60-75 s</t>
        </is>
      </c>
      <c r="F14" s="5" t="inlineStr">
        <is>
          <t>Éducation avec un spécialiste</t>
        </is>
      </c>
      <c r="G14" s="5" t="inlineStr">
        <is>
          <t>Adultes 30-60 ans</t>
        </is>
      </c>
      <c r="H14" s="6" t="inlineStr">
        <is>
          <t>Diabète : les signes qui doivent faire consulter (nutritionniste ou généraliste)</t>
        </is>
      </c>
      <c r="I14" s="5" t="inlineStr">
        <is>
          <t>Soif, fatigue, envie fréquente d'uriner : et si c'était votre glycémie ?</t>
        </is>
      </c>
      <c r="J14" s="5" t="inlineStr"/>
      <c r="K14" s="5" t="inlineStr">
        <is>
          <t>Soif permanente, fatigue, envie fréquente d'uriner : et si c'était votre glycémie ?
À l'approche de la Journée mondiale du diabète, Dr ⟦nom⟧, ⟦nutritionniste / médecin généraliste⟧ sur La Ruche Health, explique quels signes doivent vous faire consulter et quel examen demander.
Ne restez pas dans le doute : un dépistage commence par une consultation.
📲 Téléchargez La Ruche Health et prenez rendez-vous.
🔗 Lien en bio.</t>
        </is>
      </c>
      <c r="L14" s="5" t="inlineStr">
        <is>
          <t>#LaRucheHealth #Téléconsultation #SantéDigitale #Santé #Prévention #SantéPourTous #AccèsAuxSoins #CotedIvoire #Diabète #JournéeMondialeDuDiabète #Nutrition</t>
        </is>
      </c>
      <c r="M14" s="5" t="inlineStr">
        <is>
          <t>#LaRucheHealth #Diabète</t>
        </is>
      </c>
      <c r="N14" s="5" t="inlineStr">
        <is>
          <t>Prendre rendez-vous</t>
        </is>
      </c>
      <c r="O14" s="5" t="inlineStr">
        <is>
          <t>TOFU</t>
        </is>
      </c>
      <c r="P14" s="5" t="inlineStr">
        <is>
          <t>Tournage avec le spécialiste, sous-titres</t>
        </is>
      </c>
      <c r="Q14" s="5" t="inlineStr">
        <is>
          <t>Spécialiste (contenu médical)</t>
        </is>
      </c>
      <c r="R14" s="5" t="inlineStr">
        <is>
          <t>À valider</t>
        </is>
      </c>
    </row>
    <row r="15" ht="150" customHeight="1">
      <c r="A15" s="7" t="inlineStr">
        <is>
          <t>2026-11-12</t>
        </is>
      </c>
      <c r="B15" s="7" t="inlineStr">
        <is>
          <t>Jeu</t>
        </is>
      </c>
      <c r="C15" s="7" t="inlineStr">
        <is>
          <t>09:00</t>
        </is>
      </c>
      <c r="D15" s="7" t="inlineStr">
        <is>
          <t>LinkedIn</t>
        </is>
      </c>
      <c r="E15" s="7" t="inlineStr">
        <is>
          <t>Post texte (prise de parole du CEO)</t>
        </is>
      </c>
      <c r="F15" s="7" t="inlineStr">
        <is>
          <t>Leadership et vision</t>
        </is>
      </c>
      <c r="G15" s="7" t="inlineStr">
        <is>
          <t>Partenaires, bailleurs, institutions</t>
        </is>
      </c>
      <c r="H15" s="8" t="inlineStr">
        <is>
          <t>Maladies chroniques : ce que la téléconsultation change dans le suivi</t>
        </is>
      </c>
      <c r="I15" s="7" t="inlineStr">
        <is>
          <t>Le diabète ne se soigne pas en une consultation. Il se suit.</t>
        </is>
      </c>
      <c r="J15" s="7" t="inlineStr"/>
      <c r="K15" s="7" t="inlineStr">
        <is>
          <t>Le diabète ne se soigne pas en une consultation. Il se suit.
À deux jours de la Journée mondiale du diabète, une conviction : pour les maladies chroniques, le plus difficile n'est pas le premier rendez-vous, c'est le cinquième.
Rappels, résultats d'analyses à domicile, renouvellement : c'est là que le numérique aide le patient à rester suivi.
⟦exemple concret ou chiffre à fournir par la direction⟧
#Diabète #SantéDigitale #MaladiesChroniques</t>
        </is>
      </c>
      <c r="L15" s="7" t="inlineStr">
        <is>
          <t>#Diabète #SantéDigitale #MaladiesChroniques</t>
        </is>
      </c>
      <c r="M15" s="7" t="inlineStr"/>
      <c r="N15" s="7" t="inlineStr">
        <is>
          <t>Commenter</t>
        </is>
      </c>
      <c r="O15" s="7" t="inlineStr">
        <is>
          <t>TOFU</t>
        </is>
      </c>
      <c r="P15" s="7" t="inlineStr">
        <is>
          <t>Relecture et exemple par Rory Assandey (publication sur son profil ou la page)</t>
        </is>
      </c>
      <c r="Q15" s="7" t="inlineStr">
        <is>
          <t>Direction</t>
        </is>
      </c>
      <c r="R15" s="7" t="inlineStr">
        <is>
          <t>À valider</t>
        </is>
      </c>
    </row>
    <row r="16" ht="150" customHeight="1">
      <c r="A16" s="5" t="inlineStr">
        <is>
          <t>2026-11-14</t>
        </is>
      </c>
      <c r="B16" s="5" t="inlineStr">
        <is>
          <t>Sam</t>
        </is>
      </c>
      <c r="C16" s="5" t="inlineStr">
        <is>
          <t>13:00</t>
        </is>
      </c>
      <c r="D16" s="5" t="inlineStr">
        <is>
          <t>Instagram + Facebook</t>
        </is>
      </c>
      <c r="E16" s="5" t="inlineStr">
        <is>
          <t>Carrousel 4:5 (4 vues) + médecin de la semaine</t>
        </is>
      </c>
      <c r="F16" s="5" t="inlineStr">
        <is>
          <t>Temps fort santé + Médecin de la semaine</t>
        </is>
      </c>
      <c r="G16" s="5" t="inlineStr">
        <is>
          <t>Adultes 30-60 ans</t>
        </is>
      </c>
      <c r="H16" s="6" t="inlineStr">
        <is>
          <t>Journée mondiale du diabète (14 novembre) + médecin de la semaine : un nutritionniste</t>
        </is>
      </c>
      <c r="I16" s="5" t="inlineStr">
        <is>
          <t>14 novembre, Journée mondiale du diabète.</t>
        </is>
      </c>
      <c r="J16" s="5" t="inlineStr"/>
      <c r="K16" s="5" t="inlineStr">
        <is>
          <t>14 novembre | Journée mondiale du diabète
Alimentation, activité physique, suivi régulier : le diabète se prévient et se gère, à condition d'être accompagné.
Cette semaine, découvrez Dr ⟦nom⟧, ⟦nutritionniste⟧ : ⟦2 lignes de présentation⟧.
Consultez-le en téléconsultation, et faites vos analyses à domicile avec nos partenaires.
📲 Téléchargez La Ruche Health et prenez rendez-vous.
🔗 Lien en bio.</t>
        </is>
      </c>
      <c r="L16" s="5" t="inlineStr">
        <is>
          <t>#LaRucheHealth #Téléconsultation #SantéDigitale #Santé #Prévention #SantéPourTous #AccèsAuxSoins #CotedIvoire #JournéeMondialeDuDiabète #Diabète #Nutrition #MédecinDeLaSemaine</t>
        </is>
      </c>
      <c r="M16" s="5" t="inlineStr">
        <is>
          <t>#LaRucheHealth #Diabète</t>
        </is>
      </c>
      <c r="N16" s="5" t="inlineStr">
        <is>
          <t>Prendre rendez-vous</t>
        </is>
      </c>
      <c r="O16" s="5" t="inlineStr">
        <is>
          <t>BOFU</t>
        </is>
      </c>
      <c r="P16" s="5" t="inlineStr">
        <is>
          <t>Photo et accord du nutritionniste mis en avant</t>
        </is>
      </c>
      <c r="Q16" s="5" t="inlineStr">
        <is>
          <t>Spécialiste</t>
        </is>
      </c>
      <c r="R16" s="5" t="inlineStr">
        <is>
          <t>À valider</t>
        </is>
      </c>
    </row>
    <row r="17" ht="80" customHeight="1">
      <c r="A17" s="7" t="inlineStr">
        <is>
          <t>2026-11-15</t>
        </is>
      </c>
      <c r="B17" s="7" t="inlineStr">
        <is>
          <t>Dim</t>
        </is>
      </c>
      <c r="C17" s="7" t="inlineStr">
        <is>
          <t>10:00</t>
        </is>
      </c>
      <c r="D17" s="7" t="inlineStr">
        <is>
          <t>Stories Instagram + Facebook, statut WhatsApp</t>
        </is>
      </c>
      <c r="E17" s="7" t="inlineStr">
        <is>
          <t>Story fixe 9:16</t>
        </is>
      </c>
      <c r="F17" s="7" t="inlineStr">
        <is>
          <t>Temps fort (sobre)</t>
        </is>
      </c>
      <c r="G17" s="7" t="inlineStr">
        <is>
          <t>Communauté</t>
        </is>
      </c>
      <c r="H17" s="8" t="inlineStr">
        <is>
          <t>Journée nationale de la Paix</t>
        </is>
      </c>
      <c r="I17" s="7" t="inlineStr">
        <is>
          <t>15 novembre, Journée nationale de la Paix.</t>
        </is>
      </c>
      <c r="J17" s="7" t="inlineStr"/>
      <c r="K17" s="7" t="inlineStr">
        <is>
          <t>15 novembre, Journée nationale de la Paix.
Prendre soin les uns des autres, c'est aussi ça, la paix. Bonne journée à toutes et à tous.</t>
        </is>
      </c>
      <c r="L17" s="7" t="inlineStr"/>
      <c r="M17" s="7" t="inlineStr"/>
      <c r="N17" s="7" t="inlineStr">
        <is>
          <t>Aucun</t>
        </is>
      </c>
      <c r="O17" s="7" t="inlineStr">
        <is>
          <t>—</t>
        </is>
      </c>
      <c r="P17" s="7" t="inlineStr">
        <is>
          <t>Visuel sobre, sans produit</t>
        </is>
      </c>
      <c r="Q17" s="7" t="inlineStr">
        <is>
          <t>Direction</t>
        </is>
      </c>
      <c r="R17" s="7" t="inlineStr">
        <is>
          <t>À valider</t>
        </is>
      </c>
    </row>
    <row r="18" ht="150" customHeight="1">
      <c r="A18" s="5" t="inlineStr">
        <is>
          <t>2026-11-17</t>
        </is>
      </c>
      <c r="B18" s="5" t="inlineStr">
        <is>
          <t>Mar</t>
        </is>
      </c>
      <c r="C18" s="5" t="inlineStr">
        <is>
          <t>13:00</t>
        </is>
      </c>
      <c r="D18" s="5" t="inlineStr">
        <is>
          <t>Instagram + Facebook</t>
        </is>
      </c>
      <c r="E18" s="5" t="inlineStr">
        <is>
          <t>Carrousel 4:5 (5 vues)</t>
        </is>
      </c>
      <c r="F18" s="5" t="inlineStr">
        <is>
          <t>Temps fort santé (santé des femmes)</t>
        </is>
      </c>
      <c r="G18" s="5" t="inlineStr">
        <is>
          <t>Femmes 20-50 ans</t>
        </is>
      </c>
      <c r="H18" s="6" t="inlineStr">
        <is>
          <t>Journée mondiale pour l'élimination du cancer du col de l'utérus : frottis et HPV</t>
        </is>
      </c>
      <c r="I18" s="5" t="inlineStr">
        <is>
          <t>Après Octobre Rose, parlons d'un autre cancer qu'on peut éviter.</t>
        </is>
      </c>
      <c r="J18" s="5" t="inlineStr">
        <is>
          <t>Frottis, HPV : ce que toute femme devrait savoir.</t>
        </is>
      </c>
      <c r="K18" s="5" t="inlineStr">
        <is>
          <t>Après Octobre Rose, parlons d'un autre cancer qui se dépiste : le cancer du col de l'utérus.
17 novembre, Journée mondiale pour son élimination.
Frottis, test HPV, vaccination : nos gynécologues et sages-femmes vous expliquent ce qu'il faut savoir, et à quel âge.
Vous pouvez consulter :
- Gynécologue
- Sage-femme
Parce que votre santé ne doit pas attendre.
📲 Téléchargez La Ruche Health et prenez rendez-vous.
🔗 Lien en bio.</t>
        </is>
      </c>
      <c r="L18" s="5" t="inlineStr">
        <is>
          <t>#LaRucheHealth #Téléconsultation #SantéDigitale #Santé #Prévention #SantéPourTous #AccèsAuxSoins #CotedIvoire #SantéDesFemmes #CancerDuColDeLUtérus #HPV #Dépistage #Gynécologie</t>
        </is>
      </c>
      <c r="M18" s="5" t="inlineStr">
        <is>
          <t>#LaRucheHealth #SantéDesFemmes #Dépistage</t>
        </is>
      </c>
      <c r="N18" s="5" t="inlineStr">
        <is>
          <t>Prendre rendez-vous</t>
        </is>
      </c>
      <c r="O18" s="5" t="inlineStr">
        <is>
          <t>TOFU</t>
        </is>
      </c>
      <c r="P18" s="5" t="inlineStr">
        <is>
          <t>Contenu des 5 vues (âges de dépistage)</t>
        </is>
      </c>
      <c r="Q18" s="5" t="inlineStr">
        <is>
          <t>Gynécologue (contenu médical)</t>
        </is>
      </c>
      <c r="R18" s="5" t="inlineStr">
        <is>
          <t>À valider</t>
        </is>
      </c>
    </row>
    <row r="19" ht="150" customHeight="1">
      <c r="A19" s="7" t="inlineStr">
        <is>
          <t>2026-11-17</t>
        </is>
      </c>
      <c r="B19" s="7" t="inlineStr">
        <is>
          <t>Mar</t>
        </is>
      </c>
      <c r="C19" s="7" t="inlineStr">
        <is>
          <t>09:00</t>
        </is>
      </c>
      <c r="D19" s="7" t="inlineStr">
        <is>
          <t>LinkedIn</t>
        </is>
      </c>
      <c r="E19" s="7" t="inlineStr">
        <is>
          <t>Post texte + visuel</t>
        </is>
      </c>
      <c r="F19" s="7" t="inlineStr">
        <is>
          <t>Santé des femmes</t>
        </is>
      </c>
      <c r="G19" s="7" t="inlineStr">
        <is>
          <t>Partenaires, ONG, institutions</t>
        </is>
      </c>
      <c r="H19" s="8" t="inlineStr">
        <is>
          <t>Cancer du col : pourquoi la conversation privée est la première étape du dépistage</t>
        </is>
      </c>
      <c r="I19" s="7" t="inlineStr">
        <is>
          <t>Ce que nous a appris Octobre Rose : les femmes posent leurs questions la nuit, en privé.</t>
        </is>
      </c>
      <c r="J19" s="7" t="inlineStr"/>
      <c r="K19" s="7" t="inlineStr">
        <is>
          <t>17 novembre, Journée mondiale pour l'élimination du cancer du col de l'utérus.
Selon nos données, 41 % des femmes qui nous écrivent se préoccupent de leur santé reproductive.
La première étape d'un dépistage, c'est souvent une question posée en privé, puis un rendez-vous avec une gynécologue ou une sage-femme.
C'est ce parcours que nous construisons : de la question au soin.
#SantéDesFemmes #Dépistage #SantéDigitale</t>
        </is>
      </c>
      <c r="L19" s="7" t="inlineStr">
        <is>
          <t>#SantéDesFemmes #Dépistage #SantéDigitale</t>
        </is>
      </c>
      <c r="M19" s="7" t="inlineStr"/>
      <c r="N19" s="7" t="inlineStr">
        <is>
          <t>Partager</t>
        </is>
      </c>
      <c r="O19" s="7" t="inlineStr">
        <is>
          <t>TOFU</t>
        </is>
      </c>
      <c r="P19" s="7" t="inlineStr">
        <is>
          <t>Vérifier que le chiffre de 41 % (site laruche.health) est toujours à jour</t>
        </is>
      </c>
      <c r="Q19" s="7" t="inlineStr">
        <is>
          <t>Direction</t>
        </is>
      </c>
      <c r="R19" s="7" t="inlineStr">
        <is>
          <t>À valider</t>
        </is>
      </c>
    </row>
    <row r="20" ht="150" customHeight="1">
      <c r="A20" s="5" t="inlineStr">
        <is>
          <t>2026-11-18</t>
        </is>
      </c>
      <c r="B20" s="5" t="inlineStr">
        <is>
          <t>Mer</t>
        </is>
      </c>
      <c r="C20" s="5" t="inlineStr">
        <is>
          <t>12:00</t>
        </is>
      </c>
      <c r="D20" s="5" t="inlineStr">
        <is>
          <t>Instagram + Facebook + LinkedIn</t>
        </is>
      </c>
      <c r="E20" s="5" t="inlineStr">
        <is>
          <t>Vidéo verticale 9:16, 60-75 s</t>
        </is>
      </c>
      <c r="F20" s="5" t="inlineStr">
        <is>
          <t>La Ruche Pro (médecins)</t>
        </is>
      </c>
      <c r="G20" s="5" t="inlineStr">
        <is>
          <t>Médecins et spécialistes</t>
        </is>
      </c>
      <c r="H20" s="6" t="inlineStr">
        <is>
          <t>L'Ordonnance du Dr Allé, épisode 7 : ⟦sujet à choisir : avis patients, suivi après consultation…⟧</t>
        </is>
      </c>
      <c r="I20" s="5" t="inlineStr">
        <is>
          <t>Épisode 7 : et après la consultation ?</t>
        </is>
      </c>
      <c r="J20" s="5" t="inlineStr"/>
      <c r="K20" s="5" t="inlineStr">
        <is>
          <t>L'Ordonnance du Dr Allé, épisode 7
⟦Accroche selon le sujet retenu⟧
Dans ce nouvel épisode, Dr Allé vous montre ⟦sujet⟧ sur La Ruche Pro.
Vous êtes professionnel de santé ? Rejoignez le réseau La Ruche Health.
🔗 Lien en bio.</t>
        </is>
      </c>
      <c r="L20" s="5" t="inlineStr">
        <is>
          <t>#LaRucheHealth #Téléconsultation #SantéDigitale #Santé #Prévention #SantéPourTous #AccèsAuxSoins #CotedIvoire #LaRuchePro #Médecins #eSanté</t>
        </is>
      </c>
      <c r="M20" s="5" t="inlineStr">
        <is>
          <t>#LaRucheHealth #LaRuchePro</t>
        </is>
      </c>
      <c r="N20" s="5" t="inlineStr">
        <is>
          <t>Rejoindre le réseau</t>
        </is>
      </c>
      <c r="O20" s="5" t="inlineStr">
        <is>
          <t>MOFU</t>
        </is>
      </c>
      <c r="P20" s="5" t="inlineStr">
        <is>
          <t>Sujet et tournage de l'épisode 7</t>
        </is>
      </c>
      <c r="Q20" s="5" t="inlineStr">
        <is>
          <t>Équipe produit</t>
        </is>
      </c>
      <c r="R20" s="5" t="inlineStr">
        <is>
          <t>À valider</t>
        </is>
      </c>
    </row>
    <row r="21" ht="150" customHeight="1">
      <c r="A21" s="7" t="inlineStr">
        <is>
          <t>2026-11-19</t>
        </is>
      </c>
      <c r="B21" s="7" t="inlineStr">
        <is>
          <t>Jeu</t>
        </is>
      </c>
      <c r="C21" s="7" t="inlineStr">
        <is>
          <t>13:00</t>
        </is>
      </c>
      <c r="D21" s="7" t="inlineStr">
        <is>
          <t>Instagram + Facebook</t>
        </is>
      </c>
      <c r="E21" s="7" t="inlineStr">
        <is>
          <t>Vidéo verticale 9:16, 45-60 s</t>
        </is>
      </c>
      <c r="F21" s="7" t="inlineStr">
        <is>
          <t>Éducation avec un spécialiste</t>
        </is>
      </c>
      <c r="G21" s="7" t="inlineStr">
        <is>
          <t>Grand public</t>
        </is>
      </c>
      <c r="H21" s="8" t="inlineStr">
        <is>
          <t>Semaine mondiale du bon usage des antimicrobiens (18-24 nov.) : un antibiotique contre la grippe ?</t>
        </is>
      </c>
      <c r="I21" s="7" t="inlineStr">
        <is>
          <t>Un antibiotique pour soigner la grippe ? Mauvaise idée.</t>
        </is>
      </c>
      <c r="J21" s="7" t="inlineStr"/>
      <c r="K21" s="7" t="inlineStr">
        <is>
          <t>Un antibiotique pour soigner la grippe ou un rhume ? Mauvaise idée.
C'est la Semaine mondiale de sensibilisation à la résistance aux antimicrobiens (18-24 novembre).
Dr ⟦nom⟧, ⟦pharmacienne / médecin généraliste⟧ sur La Ruche Health, explique pourquoi on ne prend pas d'antibiotique sans ordonnance, et pourquoi on va jusqu'au bout du traitement.
Un doute sur un traitement ? Demandez l'avis d'un professionnel.
📲 Téléchargez La Ruche Health et prenez rendez-vous.
🔗 Lien en bio.</t>
        </is>
      </c>
      <c r="L21" s="7" t="inlineStr">
        <is>
          <t>#LaRucheHealth #Téléconsultation #SantéDigitale #Santé #Prévention #SantéPourTous #AccèsAuxSoins #CotedIvoire #Antibiotiques #BonUsageDesAntibiotiques #Automédication</t>
        </is>
      </c>
      <c r="M21" s="7" t="inlineStr">
        <is>
          <t>#LaRucheHealth #Antibiotiques</t>
        </is>
      </c>
      <c r="N21" s="7" t="inlineStr">
        <is>
          <t>Prendre rendez-vous</t>
        </is>
      </c>
      <c r="O21" s="7" t="inlineStr">
        <is>
          <t>TOFU</t>
        </is>
      </c>
      <c r="P21" s="7" t="inlineStr">
        <is>
          <t>Tournage avec un pharmacien ou un généraliste</t>
        </is>
      </c>
      <c r="Q21" s="7" t="inlineStr">
        <is>
          <t>Spécialiste (contenu médical)</t>
        </is>
      </c>
      <c r="R21" s="7" t="inlineStr">
        <is>
          <t>À valider</t>
        </is>
      </c>
    </row>
    <row r="22" ht="150" customHeight="1">
      <c r="A22" s="5" t="inlineStr">
        <is>
          <t>2026-11-21</t>
        </is>
      </c>
      <c r="B22" s="5" t="inlineStr">
        <is>
          <t>Sam</t>
        </is>
      </c>
      <c r="C22" s="5" t="inlineStr">
        <is>
          <t>13:00</t>
        </is>
      </c>
      <c r="D22" s="5" t="inlineStr">
        <is>
          <t>Instagram + Facebook</t>
        </is>
      </c>
      <c r="E22" s="5" t="inlineStr">
        <is>
          <t>Image 4:5</t>
        </is>
      </c>
      <c r="F22" s="5" t="inlineStr">
        <is>
          <t>Médecin de la semaine</t>
        </is>
      </c>
      <c r="G22" s="5" t="inlineStr">
        <is>
          <t>Patients</t>
        </is>
      </c>
      <c r="H22" s="6" t="inlineStr">
        <is>
          <t>Médecin de la semaine : un médecin généraliste</t>
        </is>
      </c>
      <c r="I22" s="5" t="inlineStr">
        <is>
          <t>Médecin de la semaine | Dr ⟦nom⟧, médecin généraliste</t>
        </is>
      </c>
      <c r="J22" s="5" t="inlineStr"/>
      <c r="K22" s="5" t="inlineStr">
        <is>
          <t>Médecin de la semaine | Dr ⟦nom⟧
Cette semaine, découvrez Dr ⟦nom⟧, médecin généraliste, ⟦années⟧ ans d'expérience.
Votre premier point de contact pour ⟦3 motifs de consultation⟧, en téléconsultation ou à domicile.
Prenez rendez-vous avec Dr ⟦nom⟧ sur La Ruche Health.
🔗 Lien en bio.</t>
        </is>
      </c>
      <c r="L22" s="5" t="inlineStr">
        <is>
          <t>#LaRucheHealth #Téléconsultation #SantéDigitale #Santé #Prévention #SantéPourTous #AccèsAuxSoins #CotedIvoire #MédecinDeLaSemaine #MédecinGénéraliste</t>
        </is>
      </c>
      <c r="M22" s="5" t="inlineStr">
        <is>
          <t>#LaRucheHealth #MédecinDeLaSemaine</t>
        </is>
      </c>
      <c r="N22" s="5" t="inlineStr">
        <is>
          <t>Prendre rendez-vous</t>
        </is>
      </c>
      <c r="O22" s="5" t="inlineStr">
        <is>
          <t>BOFU</t>
        </is>
      </c>
      <c r="P22" s="5" t="inlineStr">
        <is>
          <t>Photo, fiche et accord du médecin</t>
        </is>
      </c>
      <c r="Q22" s="5" t="inlineStr">
        <is>
          <t>Médecin concerné</t>
        </is>
      </c>
      <c r="R22" s="5" t="inlineStr">
        <is>
          <t>À valider</t>
        </is>
      </c>
    </row>
    <row r="23" ht="150" customHeight="1">
      <c r="A23" s="7" t="inlineStr">
        <is>
          <t>2026-11-24</t>
        </is>
      </c>
      <c r="B23" s="7" t="inlineStr">
        <is>
          <t>Mar</t>
        </is>
      </c>
      <c r="C23" s="7" t="inlineStr">
        <is>
          <t>13:00</t>
        </is>
      </c>
      <c r="D23" s="7" t="inlineStr">
        <is>
          <t>Instagram + Facebook</t>
        </is>
      </c>
      <c r="E23" s="7" t="inlineStr">
        <is>
          <t>Carrousel 4:5 (6 vues)</t>
        </is>
      </c>
      <c r="F23" s="7" t="inlineStr">
        <is>
          <t>Kiko et l'application</t>
        </is>
      </c>
      <c r="G23" s="7" t="inlineStr">
        <is>
          <t>Nouveaux utilisateurs</t>
        </is>
      </c>
      <c r="H23" s="8" t="inlineStr">
        <is>
          <t>Votre première téléconsultation, étape par étape</t>
        </is>
      </c>
      <c r="I23" s="7" t="inlineStr">
        <is>
          <t>Première téléconsultation ? Voici comment ça se passe, en 5 étapes.</t>
        </is>
      </c>
      <c r="J23" s="7" t="inlineStr"/>
      <c r="K23" s="7" t="inlineStr">
        <is>
          <t>Première téléconsultation ? Voici comment ça se passe, en 5 étapes.
1. Choisissez votre spécialiste sur l'application ou le site.
2. Réservez le créneau qui vous convient.
3. Payez en ligne.
4. Échangez avec le médecin en vidéo, à l'heure prévue.
5. Retrouvez votre compte rendu dans l'application.
Plus de 2 300 consultations en dermatologie, 1 500 avec nos généralistes et 1 000 avec nos sages-femmes ont déjà été réservées sur La Ruche Health.
📲 Téléchargez La Ruche Health et prenez rendez-vous.
🔗 Lien en bio.</t>
        </is>
      </c>
      <c r="L23" s="7" t="inlineStr">
        <is>
          <t>#LaRucheHealth #Téléconsultation #SantéDigitale #Santé #Prévention #SantéPourTous #AccèsAuxSoins #CotedIvoire #PremièreConsultation #Kiko</t>
        </is>
      </c>
      <c r="M23" s="7" t="inlineStr">
        <is>
          <t>#LaRucheHealth #Téléconsultation</t>
        </is>
      </c>
      <c r="N23" s="7" t="inlineStr">
        <is>
          <t>Télécharger l'application</t>
        </is>
      </c>
      <c r="O23" s="7" t="inlineStr">
        <is>
          <t>BOFU</t>
        </is>
      </c>
      <c r="P23" s="7" t="inlineStr">
        <is>
          <t>Captures de l'application à jour (iOS et Android), moyens de paiement acceptés</t>
        </is>
      </c>
      <c r="Q23" s="7" t="inlineStr">
        <is>
          <t>Équipe produit</t>
        </is>
      </c>
      <c r="R23" s="7" t="inlineStr">
        <is>
          <t>À valider</t>
        </is>
      </c>
    </row>
    <row r="24" ht="150" customHeight="1">
      <c r="A24" s="5" t="inlineStr">
        <is>
          <t>2026-11-24</t>
        </is>
      </c>
      <c r="B24" s="5" t="inlineStr">
        <is>
          <t>Mar</t>
        </is>
      </c>
      <c r="C24" s="5" t="inlineStr">
        <is>
          <t>09:00</t>
        </is>
      </c>
      <c r="D24" s="5" t="inlineStr">
        <is>
          <t>LinkedIn</t>
        </is>
      </c>
      <c r="E24" s="5" t="inlineStr">
        <is>
          <t>Post texte (prise de parole du CEO)</t>
        </is>
      </c>
      <c r="F24" s="5" t="inlineStr">
        <is>
          <t>Leadership et vision</t>
        </is>
      </c>
      <c r="G24" s="5" t="inlineStr">
        <is>
          <t>Partenaires, investisseurs, médecins</t>
        </is>
      </c>
      <c r="H24" s="6" t="inlineStr">
        <is>
          <t>De la question au soin : pourquoi un chatbot qui répond ne suffit pas</t>
        </is>
      </c>
      <c r="I24" s="5" t="inlineStr">
        <is>
          <t>Un patient écrit à un cabinet. Le vrai travail commence à ce moment-là.</t>
        </is>
      </c>
      <c r="J24" s="5" t="inlineStr"/>
      <c r="K24" s="5" t="inlineStr">
        <is>
          <t>Un patient écrit : un symptôme, une question, une envie de rendez-vous. Le vrai travail commence à ce moment-là.
Quel spécialiste ? Quelle information manque ? Combien coûte la consultation ? Qui est disponible ? Le paiement passe-t-il ? Le patient viendra-t-il ?
Chez La Ruche Health, nous construisons ce parcours complet : accueil, orientation, réservation, paiement, rappel, suivi.
⟦exemple réel d'un parcours patient, anonymisé, à fournir⟧
#SantéDigitale #IA #HealthTech</t>
        </is>
      </c>
      <c r="L24" s="5" t="inlineStr">
        <is>
          <t>#SantéDigitale #IA #HealthTech</t>
        </is>
      </c>
      <c r="M24" s="5" t="inlineStr"/>
      <c r="N24" s="5" t="inlineStr">
        <is>
          <t>Commenter</t>
        </is>
      </c>
      <c r="O24" s="5" t="inlineStr">
        <is>
          <t>MOFU</t>
        </is>
      </c>
      <c r="P24" s="5" t="inlineStr">
        <is>
          <t>Exemple réel anonymisé + relecture par Rory Assandey</t>
        </is>
      </c>
      <c r="Q24" s="5" t="inlineStr">
        <is>
          <t>Direction</t>
        </is>
      </c>
      <c r="R24" s="5" t="inlineStr">
        <is>
          <t>À valider</t>
        </is>
      </c>
    </row>
    <row r="25" ht="150" customHeight="1">
      <c r="A25" s="7" t="inlineStr">
        <is>
          <t>2026-11-25</t>
        </is>
      </c>
      <c r="B25" s="7" t="inlineStr">
        <is>
          <t>Mer</t>
        </is>
      </c>
      <c r="C25" s="7" t="inlineStr">
        <is>
          <t>10:00</t>
        </is>
      </c>
      <c r="D25" s="7" t="inlineStr">
        <is>
          <t>Instagram + Facebook</t>
        </is>
      </c>
      <c r="E25" s="7" t="inlineStr">
        <is>
          <t>Image 4:5 sobre</t>
        </is>
      </c>
      <c r="F25" s="7" t="inlineStr">
        <is>
          <t>Temps fort (sujet sensible)</t>
        </is>
      </c>
      <c r="G25" s="7" t="inlineStr">
        <is>
          <t>Femmes</t>
        </is>
      </c>
      <c r="H25" s="8" t="inlineStr">
        <is>
          <t>Journée internationale pour l'élimination de la violence à l'égard des femmes</t>
        </is>
      </c>
      <c r="I25" s="7" t="inlineStr">
        <is>
          <t>Vous n'êtes pas seule.</t>
        </is>
      </c>
      <c r="J25" s="7" t="inlineStr"/>
      <c r="K25" s="7" t="inlineStr">
        <is>
          <t>25 novembre | Journée internationale pour l'élimination de la violence à l'égard des femmes.
Vous n'êtes pas seule. Parler à un professionnel est un premier pas.
Nos psychologues vous écoutent, en toute confidentialité.
En cas d'urgence : ⟦numéro d'écoute ou d'urgence en Côte d'Ivoire à vérifier⟧.</t>
        </is>
      </c>
      <c r="L25" s="7" t="inlineStr">
        <is>
          <t>#LaRucheHealth #Stopviolences #SantéDesFemmes #SantéMentale</t>
        </is>
      </c>
      <c r="M25" s="7" t="inlineStr">
        <is>
          <t>#LaRucheHealth #SantéDesFemmes</t>
        </is>
      </c>
      <c r="N25" s="7" t="inlineStr">
        <is>
          <t>Contacter un psychologue</t>
        </is>
      </c>
      <c r="O25" s="7" t="inlineStr">
        <is>
          <t>—</t>
        </is>
      </c>
      <c r="P25" s="7" t="inlineStr">
        <is>
          <t>Numéro d'écoute officiel vérifié ; psychologues disponibles</t>
        </is>
      </c>
      <c r="Q25" s="7" t="inlineStr">
        <is>
          <t>Direction (sujet sensible)</t>
        </is>
      </c>
      <c r="R25" s="7" t="inlineStr">
        <is>
          <t>À valider</t>
        </is>
      </c>
    </row>
    <row r="26" ht="150" customHeight="1">
      <c r="A26" s="5" t="inlineStr">
        <is>
          <t>2026-11-26</t>
        </is>
      </c>
      <c r="B26" s="5" t="inlineStr">
        <is>
          <t>Jeu</t>
        </is>
      </c>
      <c r="C26" s="5" t="inlineStr">
        <is>
          <t>13:00</t>
        </is>
      </c>
      <c r="D26" s="5" t="inlineStr">
        <is>
          <t>Instagram + Facebook</t>
        </is>
      </c>
      <c r="E26" s="5" t="inlineStr">
        <is>
          <t>Vidéo verticale 9:16, 60-90 s</t>
        </is>
      </c>
      <c r="F26" s="5" t="inlineStr">
        <is>
          <t>Éducation avec un spécialiste</t>
        </is>
      </c>
      <c r="G26" s="5" t="inlineStr">
        <is>
          <t>Hommes 20-45 ans</t>
        </is>
      </c>
      <c r="H26" s="6" t="inlineStr">
        <is>
          <t>Movember : la santé mentale des hommes, avec un psychologue</t>
        </is>
      </c>
      <c r="I26" s="5" t="inlineStr">
        <is>
          <t>« Un homme, ça ne se plaint pas. » Et si c'était ça, le problème ?</t>
        </is>
      </c>
      <c r="J26" s="5" t="inlineStr"/>
      <c r="K26" s="5" t="inlineStr">
        <is>
          <t>« Un homme, ça ne se plaint pas. » Et si c'était ça, le problème ?
Stress, fatigue, irritabilité, sommeil qui se dérègle : chez les hommes, l'épuisement se cache souvent.
Dr ⟦nom⟧, psychologue sur La Ruche Health, explique comment le repérer et quand en parler.
En parler, c'est déjà se soigner.
📲 Téléchargez La Ruche Health et prenez rendez-vous.
🔗 Lien en bio.</t>
        </is>
      </c>
      <c r="L26" s="5" t="inlineStr">
        <is>
          <t>#LaRucheHealth #Téléconsultation #SantéDigitale #Santé #Prévention #SantéPourTous #AccèsAuxSoins #CotedIvoire #Movember #SantéMentale #SantéMasculine #Psychologie</t>
        </is>
      </c>
      <c r="M26" s="5" t="inlineStr">
        <is>
          <t>#LaRucheHealth #Movember #SantéMentale</t>
        </is>
      </c>
      <c r="N26" s="5" t="inlineStr">
        <is>
          <t>Prendre rendez-vous</t>
        </is>
      </c>
      <c r="O26" s="5" t="inlineStr">
        <is>
          <t>TOFU</t>
        </is>
      </c>
      <c r="P26" s="5" t="inlineStr">
        <is>
          <t>Tournage avec un psychologue</t>
        </is>
      </c>
      <c r="Q26" s="5" t="inlineStr">
        <is>
          <t>Psychologue (contenu médical)</t>
        </is>
      </c>
      <c r="R26" s="5" t="inlineStr">
        <is>
          <t>À valider</t>
        </is>
      </c>
    </row>
    <row r="27" ht="150" customHeight="1">
      <c r="A27" s="7" t="inlineStr">
        <is>
          <t>2026-11-26</t>
        </is>
      </c>
      <c r="B27" s="7" t="inlineStr">
        <is>
          <t>Jeu</t>
        </is>
      </c>
      <c r="C27" s="7" t="inlineStr">
        <is>
          <t>09:00</t>
        </is>
      </c>
      <c r="D27" s="7" t="inlineStr">
        <is>
          <t>LinkedIn</t>
        </is>
      </c>
      <c r="E27" s="7" t="inlineStr">
        <is>
          <t>Post + infographie</t>
        </is>
      </c>
      <c r="F27" s="7" t="inlineStr">
        <is>
          <t>Preuve et résultats</t>
        </is>
      </c>
      <c r="G27" s="7" t="inlineStr">
        <is>
          <t>Partenaires, médecins</t>
        </is>
      </c>
      <c r="H27" s="8" t="inlineStr">
        <is>
          <t>Ce que les patients réservent le plus sur La Ruche Health</t>
        </is>
      </c>
      <c r="I27" s="7" t="inlineStr">
        <is>
          <t>Dermatologie, médecine générale, sages-femmes : le podium de nos réservations.</t>
        </is>
      </c>
      <c r="J27" s="7" t="inlineStr"/>
      <c r="K27" s="7" t="inlineStr">
        <is>
          <t>Dermatologie, médecine générale, sages-femmes : le podium de nos réservations.
Plus de 2 300 consultations en dermatologie, 1 500 avec nos généralistes, 1 000 avec nos sages-femmes.
Derrière ces chiffres, des patients qui ont trouvé un spécialiste sans salle d'attente, et des médecins qui ont trouvé de nouveaux patients.
Merci à tous les professionnels qui font La Ruche Health.
#SantéDigitale #Télémédecine #CôtedIvoire</t>
        </is>
      </c>
      <c r="L27" s="7" t="inlineStr">
        <is>
          <t>#SantéDigitale #Télémédecine #CôtedIvoire</t>
        </is>
      </c>
      <c r="M27" s="7" t="inlineStr"/>
      <c r="N27" s="7" t="inlineStr">
        <is>
          <t>Partager</t>
        </is>
      </c>
      <c r="O27" s="7" t="inlineStr">
        <is>
          <t>MOFU</t>
        </is>
      </c>
      <c r="P27" s="7" t="inlineStr">
        <is>
          <t>Confirmer que les chiffres du site sont à jour</t>
        </is>
      </c>
      <c r="Q27" s="7" t="inlineStr">
        <is>
          <t>Direction</t>
        </is>
      </c>
      <c r="R27" s="7" t="inlineStr">
        <is>
          <t>À valider</t>
        </is>
      </c>
    </row>
    <row r="28" ht="80" customHeight="1">
      <c r="A28" s="5" t="inlineStr">
        <is>
          <t>2026-11-27</t>
        </is>
      </c>
      <c r="B28" s="5" t="inlineStr">
        <is>
          <t>Ven</t>
        </is>
      </c>
      <c r="C28" s="5" t="inlineStr">
        <is>
          <t>10:00</t>
        </is>
      </c>
      <c r="D28" s="5" t="inlineStr">
        <is>
          <t>Newsletter (e-mail)</t>
        </is>
      </c>
      <c r="E28" s="5" t="inlineStr">
        <is>
          <t>Newsletter</t>
        </is>
      </c>
      <c r="F28" s="5" t="inlineStr">
        <is>
          <t>Synthèse du mois</t>
        </is>
      </c>
      <c r="G28" s="5" t="inlineStr">
        <is>
          <t>Abonnés à la newsletter</t>
        </is>
      </c>
      <c r="H28" s="6" t="inlineStr">
        <is>
          <t>Newsletter de novembre : santé des hommes, diabète, dépistage du col</t>
        </is>
      </c>
      <c r="I28" s="5" t="inlineStr">
        <is>
          <t>Novembre chez La Ruche Health : ce qu'il faut retenir</t>
        </is>
      </c>
      <c r="J28" s="5" t="inlineStr"/>
      <c r="K28" s="5" t="inlineStr">
        <is>
          <t>Au sommaire : les conseils de nos urologues et psychologues pour Movember, les signes du diabète, le dépistage du cancer du col de l'utérus, et les médecins du mois à consulter.</t>
        </is>
      </c>
      <c r="L28" s="5" t="inlineStr"/>
      <c r="M28" s="5" t="inlineStr"/>
      <c r="N28" s="5" t="inlineStr">
        <is>
          <t>Prendre rendez-vous</t>
        </is>
      </c>
      <c r="O28" s="5" t="inlineStr">
        <is>
          <t>MOFU</t>
        </is>
      </c>
      <c r="P28" s="5" t="inlineStr">
        <is>
          <t>Outil d'envoi de la newsletter et liste des abonnés (rythme d'envoi à confirmer)</t>
        </is>
      </c>
      <c r="Q28" s="5" t="inlineStr">
        <is>
          <t>Direction</t>
        </is>
      </c>
      <c r="R28" s="5" t="inlineStr">
        <is>
          <t>À valider</t>
        </is>
      </c>
    </row>
    <row r="29" ht="150" customHeight="1">
      <c r="A29" s="7" t="inlineStr">
        <is>
          <t>2026-11-28</t>
        </is>
      </c>
      <c r="B29" s="7" t="inlineStr">
        <is>
          <t>Sam</t>
        </is>
      </c>
      <c r="C29" s="7" t="inlineStr">
        <is>
          <t>13:00</t>
        </is>
      </c>
      <c r="D29" s="7" t="inlineStr">
        <is>
          <t>Instagram + Facebook</t>
        </is>
      </c>
      <c r="E29" s="7" t="inlineStr">
        <is>
          <t>Image 4:5</t>
        </is>
      </c>
      <c r="F29" s="7" t="inlineStr">
        <is>
          <t>Médecin de la semaine</t>
        </is>
      </c>
      <c r="G29" s="7" t="inlineStr">
        <is>
          <t>Patients</t>
        </is>
      </c>
      <c r="H29" s="8" t="inlineStr">
        <is>
          <t>Médecin de la semaine : un psychologue ou une gynécologue</t>
        </is>
      </c>
      <c r="I29" s="7" t="inlineStr">
        <is>
          <t>Médecin de la semaine | Dr ⟦nom⟧</t>
        </is>
      </c>
      <c r="J29" s="7" t="inlineStr"/>
      <c r="K29" s="7" t="inlineStr">
        <is>
          <t>Médecin de la semaine | Dr ⟦nom⟧
Cette semaine, découvrez Dr ⟦nom⟧, ⟦spécialité⟧, ⟦années⟧ ans d'expérience.
Elle ou il vous accompagne pour ⟦3 motifs de consultation⟧.
Prenez rendez-vous avec Dr ⟦nom⟧ sur La Ruche Health.
🔗 Lien en bio.</t>
        </is>
      </c>
      <c r="L29" s="7" t="inlineStr">
        <is>
          <t>#LaRucheHealth #Téléconsultation #SantéDigitale #Santé #Prévention #SantéPourTous #AccèsAuxSoins #CotedIvoire #MédecinDeLaSemaine</t>
        </is>
      </c>
      <c r="M29" s="7" t="inlineStr">
        <is>
          <t>#LaRucheHealth #MédecinDeLaSemaine</t>
        </is>
      </c>
      <c r="N29" s="7" t="inlineStr">
        <is>
          <t>Prendre rendez-vous</t>
        </is>
      </c>
      <c r="O29" s="7" t="inlineStr">
        <is>
          <t>BOFU</t>
        </is>
      </c>
      <c r="P29" s="7" t="inlineStr">
        <is>
          <t>Photo, fiche et accord du médecin</t>
        </is>
      </c>
      <c r="Q29" s="7" t="inlineStr">
        <is>
          <t>Médecin concerné</t>
        </is>
      </c>
      <c r="R29" s="7" t="inlineStr">
        <is>
          <t>À valider</t>
        </is>
      </c>
    </row>
    <row r="30" ht="150" customHeight="1">
      <c r="A30" s="5" t="inlineStr">
        <is>
          <t>2026-11-30</t>
        </is>
      </c>
      <c r="B30" s="5" t="inlineStr">
        <is>
          <t>Lun</t>
        </is>
      </c>
      <c r="C30" s="5" t="inlineStr">
        <is>
          <t>13:00</t>
        </is>
      </c>
      <c r="D30" s="5" t="inlineStr">
        <is>
          <t>Instagram + Facebook</t>
        </is>
      </c>
      <c r="E30" s="5" t="inlineStr">
        <is>
          <t>Carrousel 4:5 (4 vues)</t>
        </is>
      </c>
      <c r="F30" s="5" t="inlineStr">
        <is>
          <t>Temps fort santé</t>
        </is>
      </c>
      <c r="G30" s="5" t="inlineStr">
        <is>
          <t>Jeunes 18-35 ans</t>
        </is>
      </c>
      <c r="H30" s="6" t="inlineStr">
        <is>
          <t>Avant le 1er décembre (Journée mondiale du sida) : le dépistage du VIH, simple et confidentiel</t>
        </is>
      </c>
      <c r="I30" s="5" t="inlineStr">
        <is>
          <t>Le dépistage du VIH, vous en parlez quand ?</t>
        </is>
      </c>
      <c r="J30" s="5" t="inlineStr"/>
      <c r="K30" s="5" t="inlineStr">
        <is>
          <t>Le dépistage du VIH, vous en parlez quand ?
Demain, 1er décembre, c'est la Journée mondiale de lutte contre le sida.
Se faire dépister, c'est simple, rapide et confidentiel. Nos médecins et sages-femmes vous expliquent comment, et vous orientent.
Une question ? Kiko vous répond en privé sur WhatsApp : +225 05 00 95 57 97
📲 Téléchargez La Ruche Health et prenez rendez-vous.
🔗 Lien en bio.</t>
        </is>
      </c>
      <c r="L30" s="5" t="inlineStr">
        <is>
          <t>#LaRucheHealth #Téléconsultation #SantéDigitale #Santé #Prévention #SantéPourTous #AccèsAuxSoins #CotedIvoire #JournéeMondialeDuSida #Dépistage #SantéSexuelle #IST</t>
        </is>
      </c>
      <c r="M30" s="5" t="inlineStr">
        <is>
          <t>#LaRucheHealth #Dépistage #SantéSexuelle</t>
        </is>
      </c>
      <c r="N30" s="5" t="inlineStr">
        <is>
          <t>Écrire à Kiko / prendre rendez-vous</t>
        </is>
      </c>
      <c r="O30" s="5" t="inlineStr">
        <is>
          <t>TOFU</t>
        </is>
      </c>
      <c r="P30" s="5" t="inlineStr">
        <is>
          <t>Lieux ou modalités de dépistage proposés (à domicile ?)</t>
        </is>
      </c>
      <c r="Q30" s="5" t="inlineStr">
        <is>
          <t>Médecin référent</t>
        </is>
      </c>
      <c r="R30" s="5" t="inlineStr">
        <is>
          <t>À valider</t>
        </is>
      </c>
    </row>
  </sheetData>
  <autoFilter ref="A5:R30"/>
  <conditionalFormatting sqref="A6:R30">
    <cfRule type="expression" priority="1" dxfId="0">
      <formula>$R6="Validé"</formula>
    </cfRule>
    <cfRule type="expression" priority="2" dxfId="1">
      <formula>$R6="Publié"</formula>
    </cfRule>
  </conditionalFormatting>
  <dataValidations count="1">
    <dataValidation sqref="R6:R30" showDropDown="0" showInputMessage="0" showErrorMessage="0" allowBlank="1" type="list">
      <formula1>"Idée,En production,À valider,Validé,Programmé,Publié"</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4EC7C5"/>
    <outlinePr summaryBelow="1" summaryRight="1"/>
    <pageSetUpPr/>
  </sheetPr>
  <dimension ref="A1:B32"/>
  <sheetViews>
    <sheetView showGridLines="0" workbookViewId="0">
      <selection activeCell="A1" sqref="A1"/>
    </sheetView>
  </sheetViews>
  <sheetFormatPr baseColWidth="8" defaultRowHeight="15"/>
  <cols>
    <col width="34" customWidth="1" min="1" max="1"/>
    <col width="18" customWidth="1" min="2" max="2"/>
  </cols>
  <sheetData>
    <row r="1">
      <c r="A1" s="9" t="inlineStr">
        <is>
          <t>Répartition du mois (se calcule seule)</t>
        </is>
      </c>
    </row>
    <row r="3">
      <c r="A3" s="10" t="inlineStr">
        <is>
          <t>Pilier</t>
        </is>
      </c>
      <c r="B3" s="10" t="inlineStr">
        <is>
          <t>Nombre de posts</t>
        </is>
      </c>
    </row>
    <row r="4">
      <c r="A4" s="11" t="inlineStr">
        <is>
          <t>Campagne santé</t>
        </is>
      </c>
      <c r="B4" s="11">
        <f>COUNTIF('Calendrier novembre'!F6:F30,"*Campagne santé*")</f>
        <v/>
      </c>
    </row>
    <row r="5">
      <c r="A5" s="11" t="inlineStr">
        <is>
          <t>Éducation avec un spécialiste</t>
        </is>
      </c>
      <c r="B5" s="11">
        <f>COUNTIF('Calendrier novembre'!F6:F30,"*Éducation avec un spécialiste*")</f>
        <v/>
      </c>
    </row>
    <row r="6">
      <c r="A6" s="11" t="inlineStr">
        <is>
          <t>Médecin de la semaine</t>
        </is>
      </c>
      <c r="B6" s="11">
        <f>COUNTIF('Calendrier novembre'!F6:F30,"*Médecin de la semaine*")</f>
        <v/>
      </c>
    </row>
    <row r="7">
      <c r="A7" s="11" t="inlineStr">
        <is>
          <t>Kiko</t>
        </is>
      </c>
      <c r="B7" s="11">
        <f>COUNTIF('Calendrier novembre'!F6:F30,"*Kiko*")</f>
        <v/>
      </c>
    </row>
    <row r="8">
      <c r="A8" s="11" t="inlineStr">
        <is>
          <t>La Ruche Pro</t>
        </is>
      </c>
      <c r="B8" s="11">
        <f>COUNTIF('Calendrier novembre'!F6:F30,"*La Ruche Pro*")</f>
        <v/>
      </c>
    </row>
    <row r="9">
      <c r="A9" s="11" t="inlineStr">
        <is>
          <t>Temps fort</t>
        </is>
      </c>
      <c r="B9" s="11">
        <f>COUNTIF('Calendrier novembre'!F6:F30,"*Temps fort*")</f>
        <v/>
      </c>
    </row>
    <row r="10">
      <c r="A10" s="11" t="inlineStr">
        <is>
          <t>Leadership</t>
        </is>
      </c>
      <c r="B10" s="11">
        <f>COUNTIF('Calendrier novembre'!F6:F30,"*Leadership*")</f>
        <v/>
      </c>
    </row>
    <row r="11">
      <c r="A11" s="11" t="inlineStr">
        <is>
          <t>Preuve</t>
        </is>
      </c>
      <c r="B11" s="11">
        <f>COUNTIF('Calendrier novembre'!F6:F30,"*Preuve*")</f>
        <v/>
      </c>
    </row>
    <row r="12">
      <c r="A12" s="11" t="inlineStr">
        <is>
          <t>Synthèse</t>
        </is>
      </c>
      <c r="B12" s="11">
        <f>COUNTIF('Calendrier novembre'!F6:F30,"*Synthèse*")</f>
        <v/>
      </c>
    </row>
    <row r="14">
      <c r="A14" s="10" t="inlineStr">
        <is>
          <t>Canal</t>
        </is>
      </c>
      <c r="B14" s="10" t="inlineStr">
        <is>
          <t>Nombre de posts</t>
        </is>
      </c>
    </row>
    <row r="15">
      <c r="A15" s="11" t="inlineStr">
        <is>
          <t>Instagram</t>
        </is>
      </c>
      <c r="B15" s="11">
        <f>COUNTIF('Calendrier novembre'!D6:D30,"*Instagram*")</f>
        <v/>
      </c>
    </row>
    <row r="16">
      <c r="A16" s="11" t="inlineStr">
        <is>
          <t>Facebook</t>
        </is>
      </c>
      <c r="B16" s="11">
        <f>COUNTIF('Calendrier novembre'!D6:D30,"*Facebook*")</f>
        <v/>
      </c>
    </row>
    <row r="17">
      <c r="A17" s="11" t="inlineStr">
        <is>
          <t>LinkedIn</t>
        </is>
      </c>
      <c r="B17" s="11">
        <f>COUNTIF('Calendrier novembre'!D6:D30,"*LinkedIn*")</f>
        <v/>
      </c>
    </row>
    <row r="18">
      <c r="A18" s="11" t="inlineStr">
        <is>
          <t>Stories</t>
        </is>
      </c>
      <c r="B18" s="11">
        <f>COUNTIF('Calendrier novembre'!D6:D30,"*Stories*")</f>
        <v/>
      </c>
    </row>
    <row r="19">
      <c r="A19" s="11" t="inlineStr">
        <is>
          <t>Newsletter</t>
        </is>
      </c>
      <c r="B19" s="11">
        <f>COUNTIF('Calendrier novembre'!D6:D30,"*Newsletter*")</f>
        <v/>
      </c>
    </row>
    <row r="21">
      <c r="A21" s="10" t="inlineStr">
        <is>
          <t>Intention</t>
        </is>
      </c>
      <c r="B21" s="10" t="inlineStr">
        <is>
          <t>Nombre de posts</t>
        </is>
      </c>
    </row>
    <row r="22">
      <c r="A22" s="11" t="inlineStr">
        <is>
          <t>TOFU</t>
        </is>
      </c>
      <c r="B22" s="11">
        <f>COUNTIF('Calendrier novembre'!O6:O30,"*TOFU*")</f>
        <v/>
      </c>
    </row>
    <row r="23">
      <c r="A23" s="11" t="inlineStr">
        <is>
          <t>MOFU</t>
        </is>
      </c>
      <c r="B23" s="11">
        <f>COUNTIF('Calendrier novembre'!O6:O30,"*MOFU*")</f>
        <v/>
      </c>
    </row>
    <row r="24">
      <c r="A24" s="11" t="inlineStr">
        <is>
          <t>BOFU</t>
        </is>
      </c>
      <c r="B24" s="11">
        <f>COUNTIF('Calendrier novembre'!O6:O30,"*BOFU*")</f>
        <v/>
      </c>
    </row>
    <row r="26">
      <c r="A26" s="10" t="inlineStr">
        <is>
          <t>Statut</t>
        </is>
      </c>
      <c r="B26" s="10" t="inlineStr">
        <is>
          <t>Nombre de posts</t>
        </is>
      </c>
    </row>
    <row r="27">
      <c r="A27" s="11" t="inlineStr">
        <is>
          <t>À valider</t>
        </is>
      </c>
      <c r="B27" s="11">
        <f>COUNTIF('Calendrier novembre'!R6:R30,"*À valider*")</f>
        <v/>
      </c>
    </row>
    <row r="28">
      <c r="A28" s="11" t="inlineStr">
        <is>
          <t>Validé</t>
        </is>
      </c>
      <c r="B28" s="11">
        <f>COUNTIF('Calendrier novembre'!R6:R30,"*Validé*")</f>
        <v/>
      </c>
    </row>
    <row r="29">
      <c r="A29" s="11" t="inlineStr">
        <is>
          <t>Programmé</t>
        </is>
      </c>
      <c r="B29" s="11">
        <f>COUNTIF('Calendrier novembre'!R6:R30,"*Programmé*")</f>
        <v/>
      </c>
    </row>
    <row r="30">
      <c r="A30" s="11" t="inlineStr">
        <is>
          <t>Publié</t>
        </is>
      </c>
      <c r="B30" s="11">
        <f>COUNTIF('Calendrier novembre'!R6:R30,"*Publié*")</f>
        <v/>
      </c>
    </row>
    <row r="32">
      <c r="A32" s="3" t="inlineStr">
        <is>
          <t>Les comptes se recoupent : un post Instagram + Facebook compte dans les deux canaux, et le 14 novembre compte en temps fort et en médecin de la semaine.</t>
        </is>
      </c>
    </row>
  </sheetData>
  <pageMargins left="0.75" right="0.75" top="1" bottom="1" header="0.5" footer="0.5"/>
</worksheet>
</file>

<file path=xl/worksheets/sheet3.xml><?xml version="1.0" encoding="utf-8"?>
<worksheet xmlns="http://schemas.openxmlformats.org/spreadsheetml/2006/main">
  <sheetPr>
    <tabColor rgb="004EC7C5"/>
    <outlinePr summaryBelow="1" summaryRight="1"/>
    <pageSetUpPr/>
  </sheetPr>
  <dimension ref="A1:F16"/>
  <sheetViews>
    <sheetView showGridLines="0" workbookViewId="0">
      <selection activeCell="A1" sqref="A1"/>
    </sheetView>
  </sheetViews>
  <sheetFormatPr baseColWidth="8" defaultRowHeight="15"/>
  <cols>
    <col width="14" customWidth="1" min="1" max="1"/>
    <col width="52" customWidth="1" min="2" max="2"/>
    <col width="30" customWidth="1" min="3" max="3"/>
    <col width="11" customWidth="1" min="4" max="4"/>
    <col width="40" customWidth="1" min="5" max="5"/>
    <col width="60" customWidth="1" min="6" max="6"/>
  </cols>
  <sheetData>
    <row r="1">
      <c r="A1" s="9" t="inlineStr">
        <is>
          <t>Temps forts de novembre 2026, avec leur source</t>
        </is>
      </c>
    </row>
    <row r="3">
      <c r="A3" s="10" t="inlineStr">
        <is>
          <t>Date</t>
        </is>
      </c>
      <c r="B3" s="10" t="inlineStr">
        <is>
          <t>Temps fort</t>
        </is>
      </c>
      <c r="C3" s="10" t="inlineStr">
        <is>
          <t>Type</t>
        </is>
      </c>
      <c r="D3" s="10" t="inlineStr">
        <is>
          <t>Date sûre ?</t>
        </is>
      </c>
      <c r="E3" s="10" t="inlineStr">
        <is>
          <t>Source</t>
        </is>
      </c>
      <c r="F3" s="10" t="inlineStr">
        <is>
          <t>Lien</t>
        </is>
      </c>
    </row>
    <row r="4">
      <c r="A4" s="12" t="inlineStr">
        <is>
          <t>Tout le mois</t>
        </is>
      </c>
      <c r="B4" s="12" t="inlineStr">
        <is>
          <t>Movember (santé masculine)</t>
        </is>
      </c>
      <c r="C4" s="12" t="inlineStr">
        <is>
          <t>Mois de sensibilisation</t>
        </is>
      </c>
      <c r="D4" s="12" t="inlineStr">
        <is>
          <t>Oui</t>
        </is>
      </c>
      <c r="E4" s="12" t="inlineStr">
        <is>
          <t>Santé Canada, calendrier des journées relatives à la santé</t>
        </is>
      </c>
      <c r="F4" s="12" t="inlineStr">
        <is>
          <t>https://www.canada.ca/fr/sante-canada/services/calendrier-journees-relatives-sante.html</t>
        </is>
      </c>
    </row>
    <row r="5">
      <c r="A5" s="12" t="inlineStr">
        <is>
          <t>Dim. 1er nov.</t>
        </is>
      </c>
      <c r="B5" s="12" t="inlineStr">
        <is>
          <t>Toussaint (férié en Côte d'Ivoire)</t>
        </is>
      </c>
      <c r="C5" s="12" t="inlineStr">
        <is>
          <t>Fête fixe, recueillement : visuel sobre</t>
        </is>
      </c>
      <c r="D5" s="12" t="inlineStr">
        <is>
          <t>Oui</t>
        </is>
      </c>
      <c r="E5" s="12" t="inlineStr">
        <is>
          <t>Liste des fêtes à date fixe en Côte d'Ivoire</t>
        </is>
      </c>
      <c r="F5" s="12" t="inlineStr"/>
    </row>
    <row r="6">
      <c r="A6" s="12" t="inlineStr">
        <is>
          <t>Sam. 14 nov.</t>
        </is>
      </c>
      <c r="B6" s="12" t="inlineStr">
        <is>
          <t>Journée mondiale du diabète</t>
        </is>
      </c>
      <c r="C6" s="12" t="inlineStr">
        <is>
          <t>Journée OMS / ONU</t>
        </is>
      </c>
      <c r="D6" s="12" t="inlineStr">
        <is>
          <t>Oui</t>
        </is>
      </c>
      <c r="E6" s="12" t="inlineStr">
        <is>
          <t>OMS</t>
        </is>
      </c>
      <c r="F6" s="12" t="inlineStr">
        <is>
          <t>https://www.who.int/fr/campaigns/world-diabetes-day</t>
        </is>
      </c>
    </row>
    <row r="7">
      <c r="A7" s="12" t="inlineStr">
        <is>
          <t>Dim. 15 nov.</t>
        </is>
      </c>
      <c r="B7" s="12" t="inlineStr">
        <is>
          <t>Journée nationale de la Paix (fériée)</t>
        </is>
      </c>
      <c r="C7" s="12" t="inlineStr">
        <is>
          <t>Fête fixe</t>
        </is>
      </c>
      <c r="D7" s="12" t="inlineStr">
        <is>
          <t>Oui</t>
        </is>
      </c>
      <c r="E7" s="12" t="inlineStr">
        <is>
          <t>Liste des fêtes à date fixe en Côte d'Ivoire</t>
        </is>
      </c>
      <c r="F7" s="12" t="inlineStr"/>
    </row>
    <row r="8">
      <c r="A8" s="12" t="inlineStr">
        <is>
          <t>Dim. 15 nov.</t>
        </is>
      </c>
      <c r="B8" s="12" t="inlineStr">
        <is>
          <t>Journée mondiale de la prématurité</t>
        </is>
      </c>
      <c r="C8" s="12" t="inlineStr">
        <is>
          <t>Journée OMS</t>
        </is>
      </c>
      <c r="D8" s="12" t="inlineStr">
        <is>
          <t>Oui</t>
        </is>
      </c>
      <c r="E8" s="12" t="inlineStr">
        <is>
          <t>OMS, campagnes mondiales</t>
        </is>
      </c>
      <c r="F8" s="12" t="inlineStr">
        <is>
          <t>https://www.who.int/campaigns/</t>
        </is>
      </c>
    </row>
    <row r="9">
      <c r="A9" s="12" t="inlineStr">
        <is>
          <t>Mar. 17 nov.</t>
        </is>
      </c>
      <c r="B9" s="12" t="inlineStr">
        <is>
          <t>Journée mondiale pour l'élimination du cancer du col de l'utérus</t>
        </is>
      </c>
      <c r="C9" s="12" t="inlineStr">
        <is>
          <t>Journée OMS</t>
        </is>
      </c>
      <c r="D9" s="12" t="inlineStr">
        <is>
          <t>Oui</t>
        </is>
      </c>
      <c r="E9" s="12" t="inlineStr">
        <is>
          <t>OMS, campagnes mondiales</t>
        </is>
      </c>
      <c r="F9" s="12" t="inlineStr">
        <is>
          <t>https://www.who.int/campaigns/</t>
        </is>
      </c>
    </row>
    <row r="10">
      <c r="A10" s="12" t="inlineStr">
        <is>
          <t>18-24 nov.</t>
        </is>
      </c>
      <c r="B10" s="12" t="inlineStr">
        <is>
          <t>Semaine mondiale de sensibilisation à la résistance aux antimicrobiens</t>
        </is>
      </c>
      <c r="C10" s="12" t="inlineStr">
        <is>
          <t>Semaine OMS</t>
        </is>
      </c>
      <c r="D10" s="12" t="inlineStr">
        <is>
          <t>Oui</t>
        </is>
      </c>
      <c r="E10" s="12" t="inlineStr">
        <is>
          <t>ONU / OMS</t>
        </is>
      </c>
      <c r="F10" s="12" t="inlineStr">
        <is>
          <t>https://www.un.org/en/observances/world-antibiotic-awareness-week-13-19-november-who</t>
        </is>
      </c>
    </row>
    <row r="11">
      <c r="A11" s="12" t="inlineStr">
        <is>
          <t>Mer. 25 nov.</t>
        </is>
      </c>
      <c r="B11" s="12" t="inlineStr">
        <is>
          <t>Journée internationale pour l'élimination de la violence à l'égard des femmes</t>
        </is>
      </c>
      <c r="C11" s="12" t="inlineStr">
        <is>
          <t>Journée ONU, sujet sensible</t>
        </is>
      </c>
      <c r="D11" s="12" t="inlineStr">
        <is>
          <t>Oui</t>
        </is>
      </c>
      <c r="E11" s="12" t="inlineStr">
        <is>
          <t>Santé Canada (rappel des journées ONU)</t>
        </is>
      </c>
      <c r="F11" s="12" t="inlineStr">
        <is>
          <t>https://www.canada.ca/fr/sante-canada/services/calendrier-journees-relatives-sante.html</t>
        </is>
      </c>
    </row>
    <row r="12">
      <c r="A12" s="12" t="inlineStr">
        <is>
          <t>Mar. 1er déc.</t>
        </is>
      </c>
      <c r="B12" s="12" t="inlineStr">
        <is>
          <t>Journée mondiale de lutte contre le sida (post de veille le 30 nov.)</t>
        </is>
      </c>
      <c r="C12" s="12" t="inlineStr">
        <is>
          <t>Journée OMS</t>
        </is>
      </c>
      <c r="D12" s="12" t="inlineStr">
        <is>
          <t>Oui</t>
        </is>
      </c>
      <c r="E12" s="12" t="inlineStr">
        <is>
          <t>OMS, campagnes mondiales</t>
        </is>
      </c>
      <c r="F12" s="12" t="inlineStr">
        <is>
          <t>https://www.who.int/campaigns/</t>
        </is>
      </c>
    </row>
    <row r="13">
      <c r="A13" s="12" t="inlineStr">
        <is>
          <t>—</t>
        </is>
      </c>
      <c r="B13" s="12" t="inlineStr">
        <is>
          <t>Fêtes musulmanes</t>
        </is>
      </c>
      <c r="C13" s="12" t="inlineStr">
        <is>
          <t>Aucune en novembre 2026</t>
        </is>
      </c>
      <c r="D13" s="12" t="inlineStr">
        <is>
          <t>—</t>
        </is>
      </c>
      <c r="E13" s="12" t="inlineStr">
        <is>
          <t>Aucune date annoncée par le COSIM sur la période</t>
        </is>
      </c>
      <c r="F13" s="12" t="inlineStr"/>
    </row>
    <row r="16">
      <c r="A16" s="3" t="inlineStr">
        <is>
          <t>Non retenus faute de place ou de lien direct avec l'offre : Journée de la prématurité (15 nov., un dimanche férié), à garder si un pédiatre ou une sage-femme du réseau veut s'exprimer.</t>
        </is>
      </c>
    </row>
  </sheetData>
  <pageMargins left="0.75" right="0.75" top="1" bottom="1" header="0.5" footer="0.5"/>
</worksheet>
</file>

<file path=xl/worksheets/sheet4.xml><?xml version="1.0" encoding="utf-8"?>
<worksheet xmlns="http://schemas.openxmlformats.org/spreadsheetml/2006/main">
  <sheetPr>
    <tabColor rgb="004EC7C5"/>
    <outlinePr summaryBelow="1" summaryRight="1"/>
    <pageSetUpPr/>
  </sheetPr>
  <dimension ref="A1:B16"/>
  <sheetViews>
    <sheetView showGridLines="0" workbookViewId="0">
      <selection activeCell="A1" sqref="A1"/>
    </sheetView>
  </sheetViews>
  <sheetFormatPr baseColWidth="8" defaultRowHeight="15"/>
  <cols>
    <col width="28" customWidth="1" min="1" max="1"/>
    <col width="110" customWidth="1" min="2" max="2"/>
  </cols>
  <sheetData>
    <row r="1">
      <c r="A1" s="9" t="inlineStr">
        <is>
          <t>Ce que montre votre compte Instagram (relevé du 20 octobre 2026)</t>
        </is>
      </c>
    </row>
    <row r="2">
      <c r="A2" s="2" t="inlineStr">
        <is>
          <t>Échantillon : les 40 dernières publications visibles sur @laruchehealth, du 28 juillet au 20 octobre 2026 (39 de votre compte, 1 d'un partenaire).</t>
        </is>
      </c>
    </row>
    <row r="4">
      <c r="A4" s="10" t="inlineStr">
        <is>
          <t>Mesure</t>
        </is>
      </c>
      <c r="B4" s="10" t="inlineStr">
        <is>
          <t>Constat</t>
        </is>
      </c>
    </row>
    <row r="5" ht="32" customHeight="1">
      <c r="A5" s="13" t="inlineStr">
        <is>
          <t>Rythme</t>
        </is>
      </c>
      <c r="B5" s="12" t="inlineStr">
        <is>
          <t>39 publications en 12 semaines, soit un peu plus de 3 par semaine</t>
        </is>
      </c>
    </row>
    <row r="6" ht="32" customHeight="1">
      <c r="A6" s="13" t="inlineStr">
        <is>
          <t>Jours et heure</t>
        </is>
      </c>
      <c r="B6" s="12" t="inlineStr">
        <is>
          <t>Surtout le mardi (13 posts), le jeudi (10) et le samedi (7), le plus souvent vers 13 h</t>
        </is>
      </c>
    </row>
    <row r="7" ht="32" customHeight="1">
      <c r="A7" s="13" t="inlineStr">
        <is>
          <t>Formats</t>
        </is>
      </c>
      <c r="B7" s="12" t="inlineStr">
        <is>
          <t>17 images, 14 vidéos, 9 carrousels ; 34 publications sur 40 en vertical (4:5 ou 9:16)</t>
        </is>
      </c>
    </row>
    <row r="8" ht="32" customHeight="1">
      <c r="A8" s="13" t="inlineStr">
        <is>
          <t>Durée des vidéos</t>
        </is>
      </c>
      <c r="B8" s="12" t="inlineStr">
        <is>
          <t>Médiane 75 s sur 14 vidéos (de 47 s à 5 min 21 s)</t>
        </is>
      </c>
    </row>
    <row r="9" ht="32" customHeight="1">
      <c r="A9" s="13" t="inlineStr">
        <is>
          <t>Vues des vidéos</t>
        </is>
      </c>
      <c r="B9" s="12" t="inlineStr">
        <is>
          <t>Médiane 316 lectures sur vos 13 vidéos ; au-dessus de 2 800 : la santé intime avec Dr Kattié (3 035, avec Brut Africa) et « Tous les boutons ne sont pas de l'acné » avec Dr Lyndouce (2 830)</t>
        </is>
      </c>
    </row>
    <row r="10" ht="32" customHeight="1">
      <c r="A10" s="13" t="inlineStr">
        <is>
          <t>Ce qui marche le mieux</t>
        </is>
      </c>
      <c r="B10" s="12" t="inlineStr">
        <is>
          <t>Un spécialiste qui répond face caméra à une question de santé intime, de peau ou d'homme. La santé masculine (745 lectures) fait plus de deux fois la médiane</t>
        </is>
      </c>
    </row>
    <row r="11" ht="32" customHeight="1">
      <c r="A11" s="13" t="inlineStr">
        <is>
          <t>Ce qui marche moins</t>
        </is>
      </c>
      <c r="B11" s="12" t="inlineStr">
        <is>
          <t>Les images « Médecin de la semaine » : 6 j'aime en médiane sur 9 posts. Utiles pour la réservation, faibles en portée</t>
        </is>
      </c>
    </row>
    <row r="12" ht="32" customHeight="1">
      <c r="A12" s="13" t="inlineStr">
        <is>
          <t>Série B2B</t>
        </is>
      </c>
      <c r="B12" s="12" t="inlineStr">
        <is>
          <t>« L'Ordonnance du Dr Allé », 5 vidéos (jusqu'à l'épisode 5), de 100 à 702 lectures : à garder pour les médecins, et à pousser sur LinkedIn</t>
        </is>
      </c>
    </row>
    <row r="13" ht="32" customHeight="1">
      <c r="A13" s="13" t="inlineStr">
        <is>
          <t>Mots-dièse les plus employés</t>
        </is>
      </c>
      <c r="B13" s="12" t="inlineStr">
        <is>
          <t>#LaRucheHealth (37), #Téléconsultation (18), #SantéDigitale (13), #Santé (12), #MédecinDeLaSemaine (9)</t>
        </is>
      </c>
    </row>
    <row r="14" ht="32" customHeight="1">
      <c r="A14" s="13" t="inlineStr">
        <is>
          <t>Exclu du calcul</t>
        </is>
      </c>
      <c r="B14" s="12" t="inlineStr">
        <is>
          <t>La vidéo « Derrière la Blouse » (27 238 vues) est la publication d'un partenaire qui vous cite, pas une publication de votre compte</t>
        </is>
      </c>
    </row>
    <row r="16">
      <c r="A16" s="3" t="inlineStr">
        <is>
          <t>Non relevés : Facebook, LinkedIn et TikTok (pages non lisibles sans accès), et les statistiques de portée et de réservations, qui demandent l'accès aux comptes.</t>
        </is>
      </c>
    </row>
  </sheetData>
  <pageMargins left="0.75" right="0.75" top="1" bottom="1" header="0.5" footer="0.5"/>
</worksheet>
</file>

<file path=xl/worksheets/sheet5.xml><?xml version="1.0" encoding="utf-8"?>
<worksheet xmlns="http://schemas.openxmlformats.org/spreadsheetml/2006/main">
  <sheetPr>
    <tabColor rgb="004EC7C5"/>
    <outlinePr summaryBelow="1" summaryRight="1"/>
    <pageSetUpPr/>
  </sheetPr>
  <dimension ref="A1:A9"/>
  <sheetViews>
    <sheetView showGridLines="0" workbookViewId="0">
      <selection activeCell="A1" sqref="A1"/>
    </sheetView>
  </sheetViews>
  <sheetFormatPr baseColWidth="8" defaultRowHeight="15"/>
  <cols>
    <col width="130" customWidth="1" min="1" max="1"/>
  </cols>
  <sheetData>
    <row r="1">
      <c r="A1" s="9" t="inlineStr">
        <is>
          <t>Mode d'emploi</t>
        </is>
      </c>
    </row>
    <row r="3" ht="32" customHeight="1">
      <c r="A3" s="14" t="inlineStr">
        <is>
          <t>• Les marques ⟦…⟧ sont les informations que seule votre équipe peut donner : nom du médecin, chiffre interne, numéro d'écoute. Un post ne part pas tant qu'il en reste une.</t>
        </is>
      </c>
    </row>
    <row r="4" ht="32" customHeight="1">
      <c r="A4" s="14" t="inlineStr">
        <is>
          <t>• Tout contenu médical (vidéo d'un spécialiste, conseil de dépistage) est relu par le médecin qui parle avant publication.</t>
        </is>
      </c>
    </row>
    <row r="5" ht="32" customHeight="1">
      <c r="A5" s="14" t="inlineStr">
        <is>
          <t>• Les vidéos se tournent en vertical 9:16, entre 60 et 90 secondes, sous-titrées : c'est ce qui marche le mieux sur votre compte.</t>
        </is>
      </c>
    </row>
    <row r="6" ht="32" customHeight="1">
      <c r="A6" s="14" t="inlineStr">
        <is>
          <t>• Premières lignes en gras (caractères gras Unicode), comme vos publications actuelles.</t>
        </is>
      </c>
    </row>
    <row r="7" ht="32" customHeight="1">
      <c r="A7" s="14" t="inlineStr">
        <is>
          <t>• Les chiffres de consultations (2 300 en dermatologie, 1 500 en médecine générale, 1 000 sages-femmes) les 41 % et les 300 000 questions viennent de votre site laruche.health, relu le 20 octobre 2026 : à confirmer avant publication.</t>
        </is>
      </c>
    </row>
    <row r="8" ht="32" customHeight="1">
      <c r="A8" s="14" t="inlineStr">
        <is>
          <t>• Statut : passez la colonne R à « Validé » quand un post est accepté ; il passe en vert. Rien n'est programmé sans cette validation.</t>
        </is>
      </c>
    </row>
    <row r="9" ht="32" customHeight="1">
      <c r="A9" s="14" t="inlineStr">
        <is>
          <t>• Police : Montserrat par défaut, en attendant votre charte. Couleurs relevées sur votre logo : bleu nuit #0B0249, turquoise #4EC7C5.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2026-10-20T22:31:27Z</dcterms:created>
  <dcterms:modified xmlns:dcterms="http://purl.org/dc/terms/" xmlns:xsi="http://www.w3.org/2001/XMLSchema-instance" xsi:type="dcterms:W3CDTF">2026-10-20T22:31:27Z</dcterms:modified>
</cp:coreProperties>
</file>