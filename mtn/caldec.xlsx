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décembre" sheetId="1" state="visible" r:id="rId1"/>
    <sheet xmlns:r="http://schemas.openxmlformats.org/officeDocument/2006/relationships" name="Repè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1D1B"/>
      <sz val="16"/>
    </font>
    <font>
      <name val="Arial"/>
      <i val="1"/>
      <color rgb="00555555"/>
      <sz val="10"/>
    </font>
    <font>
      <name val="Arial"/>
      <b val="1"/>
      <color rgb="00FFCB05"/>
      <sz val="10"/>
    </font>
    <font>
      <name val="Arial"/>
      <color rgb="001D1D1B"/>
      <sz val="10"/>
    </font>
    <font>
      <name val="Arial"/>
      <b val="1"/>
      <color rgb="001D1D1B"/>
      <sz val="10"/>
    </font>
    <font>
      <name val="Arial"/>
      <color rgb="000563C1"/>
      <sz val="10"/>
      <u val="single"/>
    </font>
    <font>
      <name val="Arial"/>
      <b val="1"/>
      <color rgb="001D1D1B"/>
      <sz val="13"/>
    </font>
    <font>
      <name val="Arial"/>
      <color rgb="000563C1"/>
      <sz val="10"/>
    </font>
  </fonts>
  <fills count="6">
    <fill>
      <patternFill/>
    </fill>
    <fill>
      <patternFill patternType="gray125"/>
    </fill>
    <fill>
      <patternFill patternType="solid">
        <fgColor rgb="00FFCB05"/>
      </patternFill>
    </fill>
    <fill>
      <patternFill patternType="solid">
        <fgColor rgb="001D1D1B"/>
      </patternFill>
    </fill>
    <fill>
      <patternFill patternType="solid">
        <fgColor rgb="00FFE68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8" customWidth="1" min="4" max="4"/>
    <col width="15" customWidth="1" min="5" max="5"/>
    <col width="22" customWidth="1" min="6" max="6"/>
    <col width="62" customWidth="1" min="7" max="7"/>
    <col width="26" customWidth="1" min="8" max="8"/>
    <col width="18" customWidth="1" min="9" max="9"/>
    <col width="16" customWidth="1" min="10" max="10"/>
    <col width="11" customWidth="1" min="11" max="11"/>
    <col width="22" customWidth="1" min="12" max="12"/>
  </cols>
  <sheetData>
    <row r="1" ht="40" customHeight="1">
      <c r="A1" s="1" t="inlineStr">
        <is>
          <t>MTN Côte d’Ivoire · Calendrier réseaux sociaux · décembre 2026</t>
        </is>
      </c>
    </row>
    <row r="2" ht="22" customHeight="1">
      <c r="A2" s="2" t="inlineStr">
        <is>
          <t>15 publications, une par ligne. Chaque visuel s’ouvre par son lien. Statut « À valider » : rien n’est publié sans votre accord.</t>
        </is>
      </c>
    </row>
    <row r="3" ht="26" customHeight="1">
      <c r="A3" s="3" t="inlineStr">
        <is>
          <t>N°</t>
        </is>
      </c>
      <c r="B3" s="3" t="inlineStr">
        <is>
          <t>Date</t>
        </is>
      </c>
      <c r="C3" s="3" t="inlineStr">
        <is>
          <t>Heure</t>
        </is>
      </c>
      <c r="D3" s="3" t="inlineStr">
        <is>
          <t>Réseaux</t>
        </is>
      </c>
      <c r="E3" s="3" t="inlineStr">
        <is>
          <t>Thème</t>
        </is>
      </c>
      <c r="F3" s="3" t="inlineStr">
        <is>
          <t>Sujet</t>
        </is>
      </c>
      <c r="G3" s="3" t="inlineStr">
        <is>
          <t>Texte du post</t>
        </is>
      </c>
      <c r="H3" s="3" t="inlineStr">
        <is>
          <t>Hashtags</t>
        </is>
      </c>
      <c r="I3" s="3" t="inlineStr">
        <is>
          <t>Visuel</t>
        </is>
      </c>
      <c r="J3" s="3" t="inlineStr">
        <is>
          <t>Objectif</t>
        </is>
      </c>
      <c r="K3" s="3" t="inlineStr">
        <is>
          <t>Statut</t>
        </is>
      </c>
      <c r="L3" s="3" t="inlineStr">
        <is>
          <t>Commentaire</t>
        </is>
      </c>
    </row>
    <row r="4" ht="92" customHeight="1">
      <c r="A4" s="4" t="n">
        <v>1</v>
      </c>
      <c r="B4" s="5" t="inlineStr">
        <is>
          <t>mar. 1 déc.</t>
        </is>
      </c>
      <c r="C4" s="4" t="inlineStr">
        <is>
          <t>11 h</t>
        </is>
      </c>
      <c r="D4" s="6" t="inlineStr">
        <is>
          <t>Facebook, Instagram</t>
        </is>
      </c>
      <c r="E4" s="6" t="inlineStr">
        <is>
          <t>Marque</t>
        </is>
      </c>
      <c r="F4" s="5" t="inlineStr">
        <is>
          <t>Ouverture du mois</t>
        </is>
      </c>
      <c r="G4" s="6" t="inlineStr">
        <is>
          <t>Décembre est là : les fêtes, les retrouvailles, les cadeaux. Tout le mois, MTN vous accompagne à chaque moment. Et vous, qu’est-ce qui vous rend heureux en décembre ?</t>
        </is>
      </c>
      <c r="H4" s="6" t="inlineStr">
        <is>
          <t>#MTNCôtedIvoire #MoMo #Décembre</t>
        </is>
      </c>
      <c r="I4" s="7">
        <f>HYPERLINK("https://drive.google.com/file/d/11JMc0l45KetidR2Izlp6oNxNuvIvr2WG/view","Voir le visuel 01")</f>
        <v/>
      </c>
      <c r="J4" s="6" t="inlineStr">
        <is>
          <t>Engagement</t>
        </is>
      </c>
      <c r="K4" s="8" t="inlineStr">
        <is>
          <t>À valider</t>
        </is>
      </c>
      <c r="L4" s="6" t="inlineStr"/>
    </row>
    <row r="5" ht="92" customHeight="1">
      <c r="A5" s="9" t="n">
        <v>2</v>
      </c>
      <c r="B5" s="10" t="inlineStr">
        <is>
          <t>jeu. 3 déc.</t>
        </is>
      </c>
      <c r="C5" s="9" t="inlineStr">
        <is>
          <t>12 h</t>
        </is>
      </c>
      <c r="D5" s="11" t="inlineStr">
        <is>
          <t>Facebook, Instagram</t>
        </is>
      </c>
      <c r="E5" s="11" t="inlineStr">
        <is>
          <t>MoMo transfert</t>
        </is>
      </c>
      <c r="F5" s="10" t="inlineStr">
        <is>
          <t>Envoyer l’argent des fêtes</t>
        </is>
      </c>
      <c r="G5" s="11" t="inlineStr">
        <is>
          <t>La famille au village prépare les fêtes ? Envoyez-lui sa part avec MoMo, depuis votre téléphone, sans vous déplacer.</t>
        </is>
      </c>
      <c r="H5" s="11" t="inlineStr">
        <is>
          <t>#MTNCôtedIvoire #MoMo #Transfert</t>
        </is>
      </c>
      <c r="I5" s="12">
        <f>HYPERLINK("https://drive.google.com/file/d/1NHSaaUazz1eOTkxWmCpPqSjx4TZFCbbI/view","Voir le visuel 02")</f>
        <v/>
      </c>
      <c r="J5" s="11" t="inlineStr">
        <is>
          <t>Usage MoMo</t>
        </is>
      </c>
      <c r="K5" s="8" t="inlineStr">
        <is>
          <t>À valider</t>
        </is>
      </c>
      <c r="L5" s="11" t="inlineStr"/>
    </row>
    <row r="6" ht="92" customHeight="1">
      <c r="A6" s="4" t="n">
        <v>3</v>
      </c>
      <c r="B6" s="5" t="inlineStr">
        <is>
          <t>sam. 5 déc.</t>
        </is>
      </c>
      <c r="C6" s="4" t="inlineStr">
        <is>
          <t>10 h</t>
        </is>
      </c>
      <c r="D6" s="6" t="inlineStr">
        <is>
          <t>Facebook, Instagram, WhatsApp</t>
        </is>
      </c>
      <c r="E6" s="6" t="inlineStr">
        <is>
          <t>MoMoPay</t>
        </is>
      </c>
      <c r="F6" s="5" t="inlineStr">
        <is>
          <t>Payer au marché</t>
        </is>
      </c>
      <c r="G6" s="6" t="inlineStr">
        <is>
          <t>Au marché, pas de monnaie ? Cherchez l’autocollant « Ici, on paie avec MoMo » : on scanne, c’est réglé.</t>
        </is>
      </c>
      <c r="H6" s="6" t="inlineStr">
        <is>
          <t>#MTNCôtedIvoire #MoMo #MoMoPay</t>
        </is>
      </c>
      <c r="I6" s="7">
        <f>HYPERLINK("https://drive.google.com/file/d/1v9W8VhCMdaGHWGWKl9TspNlgjvkwkD3Y/view","Voir le visuel 03")</f>
        <v/>
      </c>
      <c r="J6" s="6" t="inlineStr">
        <is>
          <t>Usage MoMoPay</t>
        </is>
      </c>
      <c r="K6" s="8" t="inlineStr">
        <is>
          <t>À valider</t>
        </is>
      </c>
      <c r="L6" s="6" t="inlineStr"/>
    </row>
    <row r="7" ht="92" customHeight="1">
      <c r="A7" s="9" t="n">
        <v>4</v>
      </c>
      <c r="B7" s="10" t="inlineStr">
        <is>
          <t>mar. 8 déc.</t>
        </is>
      </c>
      <c r="C7" s="9" t="inlineStr">
        <is>
          <t>18 h</t>
        </is>
      </c>
      <c r="D7" s="11" t="inlineStr">
        <is>
          <t>Facebook, Instagram, WhatsApp</t>
        </is>
      </c>
      <c r="E7" s="11" t="inlineStr">
        <is>
          <t>Sécurité</t>
        </is>
      </c>
      <c r="F7" s="10" t="inlineStr">
        <is>
          <t>Arnaques des fêtes</t>
        </is>
      </c>
      <c r="G7" s="11" t="inlineStr">
        <is>
          <t>Les fêtes attirent les arnaqueurs. Trois règles : ne donnez jamais votre code secret, même à un « agent MTN » ; un faux gain qui demande un paiement est une arnaque ; un doute, appelez le service client MTN. Partagez à ceux que vous aimez.</t>
        </is>
      </c>
      <c r="H7" s="11" t="inlineStr">
        <is>
          <t>#MTNCôtedIvoire #MoMo #Sécurité</t>
        </is>
      </c>
      <c r="I7" s="12">
        <f>HYPERLINK("https://drive.google.com/file/d/1mNoUg77Tpr-EBS0bhR7lCJYPDgiB9y5F/view","Voir le visuel 04")</f>
        <v/>
      </c>
      <c r="J7" s="11" t="inlineStr">
        <is>
          <t>Confiance, partages</t>
        </is>
      </c>
      <c r="K7" s="8" t="inlineStr">
        <is>
          <t>À valider</t>
        </is>
      </c>
      <c r="L7" s="11" t="inlineStr"/>
    </row>
    <row r="8" ht="92" customHeight="1">
      <c r="A8" s="4" t="n">
        <v>5</v>
      </c>
      <c r="B8" s="5" t="inlineStr">
        <is>
          <t>jeu. 10 déc.</t>
        </is>
      </c>
      <c r="C8" s="4" t="inlineStr">
        <is>
          <t>19 h</t>
        </is>
      </c>
      <c r="D8" s="6" t="inlineStr">
        <is>
          <t>Instagram, TikTok</t>
        </is>
      </c>
      <c r="E8" s="6" t="inlineStr">
        <is>
          <t>Internet</t>
        </is>
      </c>
      <c r="F8" s="5" t="inlineStr">
        <is>
          <t>Rester connectés</t>
        </is>
      </c>
      <c r="G8" s="6" t="inlineStr">
        <is>
          <t>Loin des yeux, jamais loin de la famille. Appels vidéo, photos, vœux : restez connectés pendant les fêtes.</t>
        </is>
      </c>
      <c r="H8" s="6" t="inlineStr">
        <is>
          <t>#MTNCôtedIvoire #MoMo #Internet</t>
        </is>
      </c>
      <c r="I8" s="7">
        <f>HYPERLINK("https://drive.google.com/file/d/14HN9loRoio9rGR6h8dOVf_TPItDQOTm7/view","Voir le visuel 05")</f>
        <v/>
      </c>
      <c r="J8" s="6" t="inlineStr">
        <is>
          <t>Notoriété data</t>
        </is>
      </c>
      <c r="K8" s="8" t="inlineStr">
        <is>
          <t>À valider</t>
        </is>
      </c>
      <c r="L8" s="6" t="inlineStr"/>
    </row>
    <row r="9" ht="92" customHeight="1">
      <c r="A9" s="9" t="n">
        <v>6</v>
      </c>
      <c r="B9" s="10" t="inlineStr">
        <is>
          <t>sam. 12 déc.</t>
        </is>
      </c>
      <c r="C9" s="9" t="inlineStr">
        <is>
          <t>11 h</t>
        </is>
      </c>
      <c r="D9" s="11" t="inlineStr">
        <is>
          <t>Facebook, Instagram</t>
        </is>
      </c>
      <c r="E9" s="11" t="inlineStr">
        <is>
          <t>Fêtes</t>
        </is>
      </c>
      <c r="F9" s="10" t="inlineStr">
        <is>
          <t>Préparer le repas</t>
        </is>
      </c>
      <c r="G9" s="11" t="inlineStr">
        <is>
          <t>Préparer le repas de fête, ensemble. Et pour les courses, MoMo vous simplifie la vie.</t>
        </is>
      </c>
      <c r="H9" s="11" t="inlineStr">
        <is>
          <t>#MTNCôtedIvoire #MoMo</t>
        </is>
      </c>
      <c r="I9" s="12">
        <f>HYPERLINK("https://drive.google.com/file/d/1Rvq0X9Trc9rR5W4PUrzAk-CnuJp9daRs/view","Voir le visuel 06")</f>
        <v/>
      </c>
      <c r="J9" s="11" t="inlineStr">
        <is>
          <t>Engagement</t>
        </is>
      </c>
      <c r="K9" s="8" t="inlineStr">
        <is>
          <t>À valider</t>
        </is>
      </c>
      <c r="L9" s="11" t="inlineStr"/>
    </row>
    <row r="10" ht="92" customHeight="1">
      <c r="A10" s="4" t="n">
        <v>7</v>
      </c>
      <c r="B10" s="5" t="inlineStr">
        <is>
          <t>mar. 15 déc.</t>
        </is>
      </c>
      <c r="C10" s="4" t="inlineStr">
        <is>
          <t>9 h</t>
        </is>
      </c>
      <c r="D10" s="6" t="inlineStr">
        <is>
          <t>Facebook, WhatsApp</t>
        </is>
      </c>
      <c r="E10" s="6" t="inlineStr">
        <is>
          <t>MoMoPay commerçants</t>
        </is>
      </c>
      <c r="F10" s="5" t="inlineStr">
        <is>
          <t>Encaisser sans monnaie</t>
        </is>
      </c>
      <c r="G10" s="6" t="inlineStr">
        <is>
          <t>Commerçant, décembre est ton meilleur mois : encaisse avec MoMoPay, sans rendre la monnaie, ta recette en sécurité dans ton téléphone.</t>
        </is>
      </c>
      <c r="H10" s="6" t="inlineStr">
        <is>
          <t>#MTNCôtedIvoire #MoMo #MoMoPay #Commerçants</t>
        </is>
      </c>
      <c r="I10" s="7">
        <f>HYPERLINK("https://drive.google.com/file/d/1p14YttguN2XYVLQBJ5YElnU8i4Ctg1cR/view","Voir le visuel 07")</f>
        <v/>
      </c>
      <c r="J10" s="6" t="inlineStr">
        <is>
          <t>Inscriptions MoMoPay</t>
        </is>
      </c>
      <c r="K10" s="8" t="inlineStr">
        <is>
          <t>À valider</t>
        </is>
      </c>
      <c r="L10" s="6" t="inlineStr"/>
    </row>
    <row r="11" ht="92" customHeight="1">
      <c r="A11" s="9" t="n">
        <v>8</v>
      </c>
      <c r="B11" s="10" t="inlineStr">
        <is>
          <t>jeu. 17 déc.</t>
        </is>
      </c>
      <c r="C11" s="9" t="inlineStr">
        <is>
          <t>13 h</t>
        </is>
      </c>
      <c r="D11" s="11" t="inlineStr">
        <is>
          <t>Facebook, Instagram</t>
        </is>
      </c>
      <c r="E11" s="11" t="inlineStr">
        <is>
          <t>Communauté</t>
        </is>
      </c>
      <c r="F11" s="10" t="inlineStr">
        <is>
          <t>Question du jour</t>
        </is>
      </c>
      <c r="G11" s="11" t="inlineStr">
        <is>
          <t>Ton plat de fête préféré ? Garba, attiéké poisson, poulet braisé, foutou… Dis-le en commentaire !</t>
        </is>
      </c>
      <c r="H11" s="11" t="inlineStr">
        <is>
          <t>#MTNCôtedIvoire #MoMo #Fêtes</t>
        </is>
      </c>
      <c r="I11" s="12">
        <f>HYPERLINK("https://drive.google.com/file/d/1kMrdXACTtLidHeLOaSGiunOImQ55C2UJ/view","Voir le visuel 08")</f>
        <v/>
      </c>
      <c r="J11" s="11" t="inlineStr">
        <is>
          <t>Commentaires</t>
        </is>
      </c>
      <c r="K11" s="8" t="inlineStr">
        <is>
          <t>À valider</t>
        </is>
      </c>
      <c r="L11" s="11" t="inlineStr"/>
    </row>
    <row r="12" ht="92" customHeight="1">
      <c r="A12" s="4" t="n">
        <v>9</v>
      </c>
      <c r="B12" s="5" t="inlineStr">
        <is>
          <t>sam. 19 déc.</t>
        </is>
      </c>
      <c r="C12" s="4" t="inlineStr">
        <is>
          <t>8 h</t>
        </is>
      </c>
      <c r="D12" s="6" t="inlineStr">
        <is>
          <t>Facebook, Instagram</t>
        </is>
      </c>
      <c r="E12" s="6" t="inlineStr">
        <is>
          <t>Voyages</t>
        </is>
      </c>
      <c r="F12" s="5" t="inlineStr">
        <is>
          <t>Départs au village</t>
        </is>
      </c>
      <c r="G12" s="6" t="inlineStr">
        <is>
          <t>Tu rentres au village pour les fêtes ? Bon voyage ! Garde ton forfait et ton MoMo à portée de main.</t>
        </is>
      </c>
      <c r="H12" s="6" t="inlineStr">
        <is>
          <t>#MTNCôtedIvoire #MoMo</t>
        </is>
      </c>
      <c r="I12" s="7">
        <f>HYPERLINK("https://drive.google.com/file/d/18KKyeeFpW4W-DlY3luL_8CUSkJAA0oT5/view","Voir le visuel 09")</f>
        <v/>
      </c>
      <c r="J12" s="6" t="inlineStr">
        <is>
          <t>Engagement</t>
        </is>
      </c>
      <c r="K12" s="8" t="inlineStr">
        <is>
          <t>À valider</t>
        </is>
      </c>
      <c r="L12" s="6" t="inlineStr"/>
    </row>
    <row r="13" ht="92" customHeight="1">
      <c r="A13" s="9" t="n">
        <v>10</v>
      </c>
      <c r="B13" s="10" t="inlineStr">
        <is>
          <t>lun. 21 déc.</t>
        </is>
      </c>
      <c r="C13" s="9" t="inlineStr">
        <is>
          <t>12 h</t>
        </is>
      </c>
      <c r="D13" s="11" t="inlineStr">
        <is>
          <t>Facebook, Instagram</t>
        </is>
      </c>
      <c r="E13" s="11" t="inlineStr">
        <is>
          <t>MoMo</t>
        </is>
      </c>
      <c r="F13" s="10" t="inlineStr">
        <is>
          <t>Tout dans le téléphone</t>
        </is>
      </c>
      <c r="G13" s="11" t="inlineStr">
        <is>
          <t>Payer, recevoir, envoyer : tout est dans ton téléphone. MoMo, l’argent qui suit ta vie.</t>
        </is>
      </c>
      <c r="H13" s="11" t="inlineStr">
        <is>
          <t>#MTNCôtedIvoire #MoMo</t>
        </is>
      </c>
      <c r="I13" s="12">
        <f>HYPERLINK("https://drive.google.com/file/d/10qnOkl699z5s381guTo4cr4U-hH6mT3K/view","Voir le visuel 10")</f>
        <v/>
      </c>
      <c r="J13" s="11" t="inlineStr">
        <is>
          <t>Usage MoMo</t>
        </is>
      </c>
      <c r="K13" s="8" t="inlineStr">
        <is>
          <t>À valider</t>
        </is>
      </c>
      <c r="L13" s="11" t="inlineStr"/>
    </row>
    <row r="14" ht="92" customHeight="1">
      <c r="A14" s="4" t="n">
        <v>11</v>
      </c>
      <c r="B14" s="5" t="inlineStr">
        <is>
          <t>mar. 22 déc.</t>
        </is>
      </c>
      <c r="C14" s="4" t="inlineStr">
        <is>
          <t>18 h</t>
        </is>
      </c>
      <c r="D14" s="6" t="inlineStr">
        <is>
          <t>Facebook, Instagram</t>
        </is>
      </c>
      <c r="E14" s="6" t="inlineStr">
        <is>
          <t>Astuce</t>
        </is>
      </c>
      <c r="F14" s="5" t="inlineStr">
        <is>
          <t>Cadeaux sans stress</t>
        </is>
      </c>
      <c r="G14" s="6" t="inlineStr">
        <is>
          <t>Vos cadeaux de Noël, sans stress : fixez votre budget à l’avance, payez avec MoMo chez les commerçants qui l’acceptent, gardez la trace de chaque achat dans votre historique.</t>
        </is>
      </c>
      <c r="H14" s="6" t="inlineStr">
        <is>
          <t>#MTNCôtedIvoire #MoMo #Noël</t>
        </is>
      </c>
      <c r="I14" s="7">
        <f>HYPERLINK("https://drive.google.com/file/d/1t78vv1I7ol-vKmrosAwrobSgMXqtFnqa/view","Voir le visuel 11")</f>
        <v/>
      </c>
      <c r="J14" s="6" t="inlineStr">
        <is>
          <t>Usage MoMo</t>
        </is>
      </c>
      <c r="K14" s="8" t="inlineStr">
        <is>
          <t>À valider</t>
        </is>
      </c>
      <c r="L14" s="6" t="inlineStr"/>
    </row>
    <row r="15" ht="92" customHeight="1">
      <c r="A15" s="9" t="n">
        <v>12</v>
      </c>
      <c r="B15" s="10" t="inlineStr">
        <is>
          <t>ven. 25 déc.</t>
        </is>
      </c>
      <c r="C15" s="9" t="inlineStr">
        <is>
          <t>9 h</t>
        </is>
      </c>
      <c r="D15" s="11" t="inlineStr">
        <is>
          <t>Facebook, Instagram, TikTok</t>
        </is>
      </c>
      <c r="E15" s="11" t="inlineStr">
        <is>
          <t>Marque</t>
        </is>
      </c>
      <c r="F15" s="10" t="inlineStr">
        <is>
          <t>Joyeux Noël</t>
        </is>
      </c>
      <c r="G15" s="11" t="inlineStr">
        <is>
          <t>Joyeux Noël à toute la famille MTN ! Que la joie des fêtes remplisse chaque maison.</t>
        </is>
      </c>
      <c r="H15" s="11" t="inlineStr">
        <is>
          <t>#MTNCôtedIvoire #MoMo #JoyeuxNoël</t>
        </is>
      </c>
      <c r="I15" s="12">
        <f>HYPERLINK("https://drive.google.com/file/d/1SC8yIoyhCh8PIM5roOP-ZAqXmntsFUsm/view","Voir le visuel 12")</f>
        <v/>
      </c>
      <c r="J15" s="11" t="inlineStr">
        <is>
          <t>Portée</t>
        </is>
      </c>
      <c r="K15" s="8" t="inlineStr">
        <is>
          <t>À valider</t>
        </is>
      </c>
      <c r="L15" s="11" t="inlineStr"/>
    </row>
    <row r="16" ht="92" customHeight="1">
      <c r="A16" s="4" t="n">
        <v>13</v>
      </c>
      <c r="B16" s="5" t="inlineStr">
        <is>
          <t>dim. 27 déc.</t>
        </is>
      </c>
      <c r="C16" s="4" t="inlineStr">
        <is>
          <t>17 h</t>
        </is>
      </c>
      <c r="D16" s="6" t="inlineStr">
        <is>
          <t>Instagram, TikTok</t>
        </is>
      </c>
      <c r="E16" s="6" t="inlineStr">
        <is>
          <t>Communauté</t>
        </is>
      </c>
      <c r="F16" s="5" t="inlineStr">
        <is>
          <t>Photos entre amis</t>
        </is>
      </c>
      <c r="G16" s="6" t="inlineStr">
        <is>
          <t>Le meilleur cadeau ? Être ensemble. Partage ta photo de fête avec #DécembreAvecMTN.</t>
        </is>
      </c>
      <c r="H16" s="6" t="inlineStr">
        <is>
          <t>#MTNCôtedIvoire #MoMo #DécembreAvecMTN</t>
        </is>
      </c>
      <c r="I16" s="7">
        <f>HYPERLINK("https://drive.google.com/file/d/1zdgVSYT_PlPvu1CmFF0sldsAP-pSB_CH/view","Voir le visuel 13")</f>
        <v/>
      </c>
      <c r="J16" s="6" t="inlineStr">
        <is>
          <t>Contenus d’abonnés</t>
        </is>
      </c>
      <c r="K16" s="8" t="inlineStr">
        <is>
          <t>À valider</t>
        </is>
      </c>
      <c r="L16" s="6" t="inlineStr"/>
    </row>
    <row r="17" ht="92" customHeight="1">
      <c r="A17" s="9" t="n">
        <v>14</v>
      </c>
      <c r="B17" s="10" t="inlineStr">
        <is>
          <t>mer. 30 déc.</t>
        </is>
      </c>
      <c r="C17" s="9" t="inlineStr">
        <is>
          <t>18 h</t>
        </is>
      </c>
      <c r="D17" s="11" t="inlineStr">
        <is>
          <t>Facebook, Instagram</t>
        </is>
      </c>
      <c r="E17" s="11" t="inlineStr">
        <is>
          <t>Communauté</t>
        </is>
      </c>
      <c r="F17" s="10" t="inlineStr">
        <is>
          <t>Vœux en avance</t>
        </is>
      </c>
      <c r="G17" s="11" t="inlineStr">
        <is>
          <t>On se dit bonne année en avance ? Écris tes vœux pour 2027 en commentaire.</t>
        </is>
      </c>
      <c r="H17" s="11" t="inlineStr">
        <is>
          <t>#MTNCôtedIvoire #MoMo #BonneAnnée</t>
        </is>
      </c>
      <c r="I17" s="12">
        <f>HYPERLINK("https://drive.google.com/file/d/1iCYMkIEURxpN6BsNXMuOCaFgBSTZRIVk/view","Voir le visuel 14")</f>
        <v/>
      </c>
      <c r="J17" s="11" t="inlineStr">
        <is>
          <t>Commentaires</t>
        </is>
      </c>
      <c r="K17" s="8" t="inlineStr">
        <is>
          <t>À valider</t>
        </is>
      </c>
      <c r="L17" s="11" t="inlineStr"/>
    </row>
    <row r="18" ht="92" customHeight="1">
      <c r="A18" s="4" t="n">
        <v>15</v>
      </c>
      <c r="B18" s="5" t="inlineStr">
        <is>
          <t>jeu. 31 déc.</t>
        </is>
      </c>
      <c r="C18" s="4" t="inlineStr">
        <is>
          <t>23 h 55</t>
        </is>
      </c>
      <c r="D18" s="6" t="inlineStr">
        <is>
          <t>Facebook, Instagram, TikTok</t>
        </is>
      </c>
      <c r="E18" s="6" t="inlineStr">
        <is>
          <t>Marque</t>
        </is>
      </c>
      <c r="F18" s="5" t="inlineStr">
        <is>
          <t>Bonne année 2027</t>
        </is>
      </c>
      <c r="G18" s="6" t="inlineStr">
        <is>
          <t>Bonne et heureuse année 2027 ! Merci d’avoir été avec nous en 2026. Le meilleur reste à venir.</t>
        </is>
      </c>
      <c r="H18" s="6" t="inlineStr">
        <is>
          <t>#MTNCôtedIvoire #MoMo #BonneAnnée2027</t>
        </is>
      </c>
      <c r="I18" s="7">
        <f>HYPERLINK("https://drive.google.com/file/d/1mU3_3oOr1xCW79JHIEElInUnoGi69s-b/view","Voir le visuel 15")</f>
        <v/>
      </c>
      <c r="J18" s="6" t="inlineStr">
        <is>
          <t>Portée</t>
        </is>
      </c>
      <c r="K18" s="8" t="inlineStr">
        <is>
          <t>À valider</t>
        </is>
      </c>
      <c r="L18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3" t="inlineStr">
        <is>
          <t>Ce que porte le mois</t>
        </is>
      </c>
      <c r="B1" s="14" t="inlineStr"/>
    </row>
    <row r="2" ht="30" customHeight="1">
      <c r="A2" s="15" t="inlineStr">
        <is>
          <t>Rythme</t>
        </is>
      </c>
      <c r="B2" s="16" t="inlineStr">
        <is>
          <t>3 à 4 publications par semaine, plus les jours clés (Noël, 31 décembre).</t>
        </is>
      </c>
    </row>
    <row r="3" ht="30" customHeight="1">
      <c r="A3" s="15" t="inlineStr">
        <is>
          <t>Thèmes</t>
        </is>
      </c>
      <c r="B3" s="16" t="inlineStr">
        <is>
          <t>MoMo transfert et MoMoPay (6), sécurité (1), internet (1), communauté et fêtes (7).</t>
        </is>
      </c>
    </row>
    <row r="4" ht="30" customHeight="1">
      <c r="A4" s="15" t="inlineStr">
        <is>
          <t>Réseaux</t>
        </is>
      </c>
      <c r="B4" s="16" t="inlineStr">
        <is>
          <t>Facebook et Instagram en priorité ; TikTok pour les visuels de fête ; WhatsApp pour la sécurité et MoMoPay.</t>
        </is>
      </c>
    </row>
    <row r="5" ht="30" customHeight="1">
      <c r="A5" s="15" t="inlineStr">
        <is>
          <t>Format des visuels</t>
        </is>
      </c>
      <c r="B5" s="16" t="inlineStr">
        <is>
          <t>1080 x 1350 px (4:5), à la charte MTN : jaune #FFCB05, noir #1D1D1B, logo officiel.</t>
        </is>
      </c>
    </row>
    <row r="6" ht="30" customHeight="1">
      <c r="A6" s="15" t="inlineStr">
        <is>
          <t>Photos</t>
        </is>
      </c>
      <c r="B6" s="16" t="inlineStr">
        <is>
          <t>Photos libres de droits (Pexels). À remplacer par vos photos de campagne si vous en avez.</t>
        </is>
      </c>
    </row>
    <row r="7" ht="30" customHeight="1">
      <c r="A7" s="15" t="inlineStr">
        <is>
          <t>Ce qui reste à valider</t>
        </is>
      </c>
      <c r="B7" s="16" t="inlineStr">
        <is>
          <t>Offres et prix de fin d’année : aucun n’est cité, à ajouter si MTN lance une offre de décembre.</t>
        </is>
      </c>
    </row>
    <row r="8" ht="30" customHeight="1">
      <c r="A8" s="15" t="inlineStr"/>
      <c r="B8" s="16" t="inlineStr"/>
    </row>
    <row r="9" ht="30" customHeight="1">
      <c r="A9" s="15" t="inlineStr">
        <is>
          <t>Dossier des visuels</t>
        </is>
      </c>
      <c r="B9" s="17">
        <f>HYPERLINK("https://drive.google.com/drive/folders/196Cww7gicvctx2YDh5xJJqRSwIxsSwh0","Ouvrir le dossier Drive des 15 visuels")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2026-10-27T11:52:53Z</dcterms:created>
  <dcterms:modified xmlns:dcterms="http://purl.org/dc/terms/" xmlns:xsi="http://www.w3.org/2001/XMLSchema-instance" xsi:type="dcterms:W3CDTF">2026-10-27T11:52:53Z</dcterms:modified>
</cp:coreProperties>
</file>