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rier" sheetId="1" state="visible" r:id="rId1"/>
    <sheet xmlns:r="http://schemas.openxmlformats.org/officeDocument/2006/relationships" name="Charte" sheetId="2" state="visible" r:id="rId2"/>
    <sheet xmlns:r="http://schemas.openxmlformats.org/officeDocument/2006/relationships" name="Vue d'ensemble" sheetId="3" state="visible" r:id="rId3"/>
    <sheet xmlns:r="http://schemas.openxmlformats.org/officeDocument/2006/relationships" name="Fêtes de novembre" sheetId="4" state="visible" r:id="rId4"/>
  </sheets>
  <definedNames>
    <definedName name="_xlnm._FilterDatabase" localSheetId="0" hidden="1">'Calendrier'!$A$4:$U$45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E50046"/>
      <sz val="13"/>
    </font>
    <font>
      <color rgb="001155CC"/>
      <u val="single"/>
    </font>
    <font>
      <b val="1"/>
      <color rgb="00FFFFFF"/>
      <sz val="9"/>
    </font>
    <font>
      <b val="1"/>
      <color rgb="002B1B22"/>
      <sz val="9"/>
    </font>
    <font>
      <b val="1"/>
      <color rgb="002B1B22"/>
    </font>
  </fonts>
  <fills count="14">
    <fill>
      <patternFill/>
    </fill>
    <fill>
      <patternFill patternType="gray125"/>
    </fill>
    <fill>
      <patternFill patternType="solid">
        <fgColor rgb="00E50046"/>
      </patternFill>
    </fill>
    <fill>
      <patternFill patternType="solid">
        <fgColor rgb="002B1B22"/>
      </patternFill>
    </fill>
    <fill>
      <patternFill patternType="solid">
        <fgColor rgb="00FCE3CF"/>
      </patternFill>
    </fill>
    <fill>
      <patternFill patternType="solid">
        <fgColor rgb="00EBDDEE"/>
      </patternFill>
    </fill>
    <fill>
      <patternFill patternType="solid">
        <fgColor rgb="00FFD8A8"/>
      </patternFill>
    </fill>
    <fill>
      <patternFill patternType="solid">
        <fgColor rgb="00FAD3DE"/>
      </patternFill>
    </fill>
    <fill>
      <patternFill patternType="solid">
        <fgColor rgb="00FAB900"/>
      </patternFill>
    </fill>
    <fill>
      <patternFill patternType="solid">
        <fgColor rgb="00F07E26"/>
      </patternFill>
    </fill>
    <fill>
      <patternFill patternType="solid">
        <fgColor rgb="00A4539B"/>
      </patternFill>
    </fill>
    <fill>
      <patternFill patternType="solid">
        <fgColor rgb="0067B32E"/>
      </patternFill>
    </fill>
    <fill>
      <patternFill patternType="solid">
        <fgColor rgb="0061C3D9"/>
      </patternFill>
    </fill>
    <fill>
      <patternFill patternType="solid">
        <fgColor rgb="00B30A3D"/>
      </patternFill>
    </fill>
  </fills>
  <borders count="2">
    <border>
      <left/>
      <right/>
      <top/>
      <bottom/>
      <diagonal/>
    </border>
    <border>
      <bottom style="thin">
        <color rgb="00EADFE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1" fillId="3" borderId="0" pivotButton="0" quotePrefix="0" xfId="0"/>
    <xf numFmtId="0" fontId="6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6" fillId="12" borderId="0" pivotButton="0" quotePrefix="0" xfId="0"/>
    <xf numFmtId="0" fontId="1" fillId="13" borderId="0" pivotButton="0" quotePrefix="0" xfId="0"/>
    <xf numFmtId="0" fontId="3" fillId="0" borderId="0" pivotButton="0" quotePrefix="0" xfId="0"/>
    <xf numFmtId="0" fontId="6" fillId="0" borderId="0" pivotButton="0" quotePrefix="0" xfId="0"/>
    <xf numFmtId="9" fontId="0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33425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1476375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7" customWidth="1" min="4" max="4"/>
    <col width="10" customWidth="1" min="5" max="5"/>
    <col width="18" customWidth="1" min="6" max="6"/>
    <col width="16" customWidth="1" min="7" max="7"/>
    <col width="14" customWidth="1" min="8" max="8"/>
    <col width="18" customWidth="1" min="9" max="9"/>
    <col width="18" customWidth="1" min="10" max="10"/>
    <col width="18" customWidth="1" min="11" max="11"/>
    <col width="34" customWidth="1" min="12" max="12"/>
    <col width="34" customWidth="1" min="13" max="13"/>
    <col width="30" customWidth="1" min="14" max="14"/>
    <col width="60" customWidth="1" min="15" max="15"/>
    <col width="34" customWidth="1" min="16" max="16"/>
    <col width="20" customWidth="1" min="17" max="17"/>
    <col width="28" customWidth="1" min="18" max="18"/>
    <col width="20" customWidth="1" min="19" max="19"/>
    <col width="26" customWidth="1" min="20" max="20"/>
    <col width="16" customWidth="1" min="21" max="21"/>
  </cols>
  <sheetData>
    <row r="1">
      <c r="A1" s="1" t="inlineStr">
        <is>
          <t>FICTIF : document de test. Unifood est une entreprise réelle ; personnes, budget et résultats inventés. Rien n'est publié ni programmé.</t>
        </is>
      </c>
    </row>
    <row r="2">
      <c r="A2" s="2" t="inlineStr">
        <is>
          <t>Calendrier éditorial novembre 2026 : Facebook, Instagram, TikTok (Rio Pop, TOMY, Unifood). Version 2 du 19/10/2026, à valider par Mariam Koné (FICTIF).</t>
        </is>
      </c>
    </row>
    <row r="3" ht="64" customHeight="1">
      <c r="E3" s="3" t="inlineStr">
        <is>
          <t>Framboise #E50046</t>
        </is>
      </c>
      <c r="F3" s="4" t="inlineStr">
        <is>
          <t>Jaune or #FAB900</t>
        </is>
      </c>
      <c r="G3" s="5" t="inlineStr">
        <is>
          <t>Encre #2B1B22</t>
        </is>
      </c>
      <c r="H3" s="6" t="inlineStr">
        <is>
          <t>Orange #F07E26</t>
        </is>
      </c>
      <c r="I3" s="7" t="inlineStr">
        <is>
          <t>Violet #A4539B</t>
        </is>
      </c>
      <c r="J3" s="8" t="inlineStr">
        <is>
          <t>Vert #67B32E</t>
        </is>
      </c>
      <c r="K3" s="9" t="inlineStr">
        <is>
          <t>Bleu ciel #61C3D9</t>
        </is>
      </c>
    </row>
    <row r="4">
      <c r="A4" s="10" t="inlineStr">
        <is>
          <t>N°</t>
        </is>
      </c>
      <c r="B4" s="10" t="inlineStr">
        <is>
          <t>Date</t>
        </is>
      </c>
      <c r="C4" s="10" t="inlineStr">
        <is>
          <t>Jour</t>
        </is>
      </c>
      <c r="D4" s="10" t="inlineStr">
        <is>
          <t>Heure</t>
        </is>
      </c>
      <c r="E4" s="10" t="inlineStr">
        <is>
          <t>Réseau</t>
        </is>
      </c>
      <c r="F4" s="10" t="inlineStr">
        <is>
          <t>Compte</t>
        </is>
      </c>
      <c r="G4" s="10" t="inlineStr">
        <is>
          <t>Format</t>
        </is>
      </c>
      <c r="H4" s="10" t="inlineStr">
        <is>
          <t>Gamme</t>
        </is>
      </c>
      <c r="I4" s="10" t="inlineStr">
        <is>
          <t>Cible</t>
        </is>
      </c>
      <c r="J4" s="10" t="inlineStr">
        <is>
          <t>Pilier</t>
        </is>
      </c>
      <c r="K4" s="10" t="inlineStr">
        <is>
          <t>Étage</t>
        </is>
      </c>
      <c r="L4" s="10" t="inlineStr">
        <is>
          <t>Sujet</t>
        </is>
      </c>
      <c r="M4" s="10" t="inlineStr">
        <is>
          <t>Accroche A</t>
        </is>
      </c>
      <c r="N4" s="10" t="inlineStr">
        <is>
          <t>Accroche B (à tester)</t>
        </is>
      </c>
      <c r="O4" s="10" t="inlineStr">
        <is>
          <t>Légende prête</t>
        </is>
      </c>
      <c r="P4" s="10" t="inlineStr">
        <is>
          <t>Hashtags</t>
        </is>
      </c>
      <c r="Q4" s="10" t="inlineStr">
        <is>
          <t>Appel à l'action</t>
        </is>
      </c>
      <c r="R4" s="10" t="inlineStr">
        <is>
          <t>Visuel</t>
        </is>
      </c>
      <c r="S4" s="10" t="inlineStr">
        <is>
          <t>Lien du visuel (Drive)</t>
        </is>
      </c>
      <c r="T4" s="10" t="inlineStr">
        <is>
          <t>Responsable</t>
        </is>
      </c>
      <c r="U4" s="10" t="inlineStr">
        <is>
          <t>Statut</t>
        </is>
      </c>
    </row>
    <row r="5">
      <c r="A5" s="11" t="n">
        <v>1</v>
      </c>
      <c r="B5" s="12" t="n">
        <v>46328</v>
      </c>
      <c r="C5" s="11" t="inlineStr">
        <is>
          <t>lundi 2 nov.</t>
        </is>
      </c>
      <c r="D5" s="11" t="inlineStr">
        <is>
          <t>18:00</t>
        </is>
      </c>
      <c r="E5" s="11" t="inlineStr">
        <is>
          <t>TikTok</t>
        </is>
      </c>
      <c r="F5" s="11" t="inlineStr">
        <is>
          <t>TOMY (nouveau compte)</t>
        </is>
      </c>
      <c r="G5" s="11" t="inlineStr">
        <is>
          <t>Vidéo 15 s</t>
        </is>
      </c>
      <c r="H5" s="11" t="inlineStr">
        <is>
          <t>Toutes</t>
        </is>
      </c>
      <c r="I5" s="11" t="inlineStr">
        <is>
          <t>13 à 17 ans et jeunes adultes</t>
        </is>
      </c>
      <c r="J5" s="11" t="inlineStr">
        <is>
          <t>Couleurs et fun</t>
        </is>
      </c>
      <c r="K5" s="13" t="inlineStr">
        <is>
          <t>TOFU, se faire connaître</t>
        </is>
      </c>
      <c r="L5" s="11" t="inlineStr">
        <is>
          <t>Ouverture du compte : toute la famille TOMY en 15 secondes</t>
        </is>
      </c>
      <c r="M5" s="11" t="inlineStr">
        <is>
          <t>TOMY arrive sur TikTok, et ça va colorer ton fil !</t>
        </is>
      </c>
      <c r="N5" s="11" t="inlineStr">
        <is>
          <t>Rio Pop, Super Mint, Gnamakou... On est là !</t>
        </is>
      </c>
      <c r="O5" s="11" t="inlineStr">
        <is>
          <t>TOMY arrive sur TikTok, et ça va colorer ton fil ! 🍭❄️🔥
Rio Pop, Super Mint, Tempo, Super Gnamakou : toute la bande est là.
Abonne-toi, la suite arrive vite 👀</t>
        </is>
      </c>
      <c r="P5" s="11" t="inlineStr">
        <is>
          <t>#TOMY #RioPop #Abidjan #225</t>
        </is>
      </c>
      <c r="Q5" s="11" t="inlineStr">
        <is>
          <t>Abonne-toi</t>
        </is>
      </c>
      <c r="R5" s="11" t="inlineStr">
        <is>
          <t>visuels/post01_famille.jpg</t>
        </is>
      </c>
      <c r="S5" s="14">
        <f>HYPERLINK("https://drive.google.com/file/d/1wO-GmpCCdd1HYKsbqDRpJNEBhhCntGm2/view?usp=drivesdk","Voir le visuel 1")</f>
        <v/>
      </c>
      <c r="T5" s="11" t="inlineStr">
        <is>
          <t>Koffi (montage), Prisca Yao (publication)</t>
        </is>
      </c>
      <c r="U5" s="11" t="inlineStr">
        <is>
          <t>à valider</t>
        </is>
      </c>
    </row>
    <row r="6">
      <c r="A6" s="11" t="n">
        <v>2</v>
      </c>
      <c r="B6" s="12" t="n">
        <v>46329</v>
      </c>
      <c r="C6" s="11" t="inlineStr">
        <is>
          <t>mardi 3 nov.</t>
        </is>
      </c>
      <c r="D6" s="11" t="inlineStr">
        <is>
          <t>12:30</t>
        </is>
      </c>
      <c r="E6" s="11" t="inlineStr">
        <is>
          <t>Facebook</t>
        </is>
      </c>
      <c r="F6" s="11" t="inlineStr">
        <is>
          <t>Rio Pop @RioPop225</t>
        </is>
      </c>
      <c r="G6" s="11" t="inlineStr">
        <is>
          <t>Carrousel 5 images</t>
        </is>
      </c>
      <c r="H6" s="11" t="inlineStr">
        <is>
          <t>Rio Pop</t>
        </is>
      </c>
      <c r="I6" s="11" t="inlineStr">
        <is>
          <t>Parents 25 à 45 ans</t>
        </is>
      </c>
      <c r="J6" s="11" t="inlineStr">
        <is>
          <t>Couleurs et fun</t>
        </is>
      </c>
      <c r="K6" s="15" t="inlineStr">
        <is>
          <t>MOFU, faire considérer</t>
        </is>
      </c>
      <c r="L6" s="11" t="inlineStr">
        <is>
          <t>Les parfums Rio Pop, un par image</t>
        </is>
      </c>
      <c r="M6" s="11" t="inlineStr">
        <is>
          <t>Mangue, fraise, passion, cola... Chez vous, c'est quel parfum ?</t>
        </is>
      </c>
      <c r="N6" s="11" t="inlineStr">
        <is>
          <t>5 parfums, 1 seule question : le vôtre ?</t>
        </is>
      </c>
      <c r="O6" s="11" t="inlineStr">
        <is>
          <t>Mangue, fraise, passion, cola, mix fruits... Chez vous, c'est quel parfum qui part en premier ? 🍭
Dites-le en commentaire, on compte les votes vendredi !</t>
        </is>
      </c>
      <c r="P6" s="11" t="inlineStr">
        <is>
          <t>#RioPop #RienNteStop #Abidjan</t>
        </is>
      </c>
      <c r="Q6" s="11" t="inlineStr">
        <is>
          <t>Votez en commentaire</t>
        </is>
      </c>
      <c r="R6" s="11" t="inlineStr">
        <is>
          <t>visuels/post02_parfums.jpg</t>
        </is>
      </c>
      <c r="S6" s="14">
        <f>HYPERLINK("https://drive.google.com/file/d/1lfqJX7bLeKk2mmtlypTaXgzTOBE_PRIl/view?usp=drivesdk","Voir le visuel 2")</f>
        <v/>
      </c>
      <c r="T6" s="11" t="inlineStr">
        <is>
          <t>Koffi (visuels), Prisca Yao</t>
        </is>
      </c>
      <c r="U6" s="11" t="inlineStr">
        <is>
          <t>à valider</t>
        </is>
      </c>
    </row>
    <row r="7">
      <c r="A7" s="11" t="n">
        <v>3</v>
      </c>
      <c r="B7" s="12" t="n">
        <v>46329</v>
      </c>
      <c r="C7" s="11" t="inlineStr">
        <is>
          <t>mardi 3 nov.</t>
        </is>
      </c>
      <c r="D7" s="11" t="inlineStr">
        <is>
          <t>19:00</t>
        </is>
      </c>
      <c r="E7" s="11" t="inlineStr">
        <is>
          <t>Instagram</t>
        </is>
      </c>
      <c r="F7" s="11" t="inlineStr">
        <is>
          <t>Rio Pop (nouveau compte)</t>
        </is>
      </c>
      <c r="G7" s="11" t="inlineStr">
        <is>
          <t>Post carré</t>
        </is>
      </c>
      <c r="H7" s="11" t="inlineStr">
        <is>
          <t>Rio Pop</t>
        </is>
      </c>
      <c r="I7" s="11" t="inlineStr">
        <is>
          <t>Parents et ados 13 à 17 ans</t>
        </is>
      </c>
      <c r="J7" s="11" t="inlineStr">
        <is>
          <t>Couleurs et fun</t>
        </is>
      </c>
      <c r="K7" s="13" t="inlineStr">
        <is>
          <t>TOFU, se faire connaître</t>
        </is>
      </c>
      <c r="L7" s="11" t="inlineStr">
        <is>
          <t>Premier post du compte Instagram Rio Pop</t>
        </is>
      </c>
      <c r="M7" s="11" t="inlineStr">
        <is>
          <t>Rio Pop débarque sur Instagram 🎉</t>
        </is>
      </c>
      <c r="N7" s="11" t="inlineStr">
        <is>
          <t>Les sucettes qui colorent vos journées, maintenant ici.</t>
        </is>
      </c>
      <c r="O7" s="11" t="inlineStr">
        <is>
          <t>Rio Pop débarque sur Instagram 🎉
Les sucettes qui colorent vos journées, avec un cœur chewing-gum dedans.
Abonnez-vous pour les idées de fêtes, les défis et les nouveautés 🍭</t>
        </is>
      </c>
      <c r="P7" s="11" t="inlineStr">
        <is>
          <t>#RioPop #RienNteStop #TOMY #Abidjan #CôteDIvoire #225 #Babi #Sucette #Bonbon</t>
        </is>
      </c>
      <c r="Q7" s="11" t="inlineStr">
        <is>
          <t>Abonnez-vous</t>
        </is>
      </c>
      <c r="R7" s="11" t="inlineStr">
        <is>
          <t>visuels/post03_sachet48_rouge.jpg</t>
        </is>
      </c>
      <c r="S7" s="14">
        <f>HYPERLINK("https://drive.google.com/file/d/1oKR3HOheFwFKyjhlVx0IIvmCiD3BF1YO/view?usp=drivesdk","Voir le visuel 3")</f>
        <v/>
      </c>
      <c r="T7" s="11" t="inlineStr">
        <is>
          <t>Prisca Yao</t>
        </is>
      </c>
      <c r="U7" s="11" t="inlineStr">
        <is>
          <t>à valider</t>
        </is>
      </c>
    </row>
    <row r="8">
      <c r="A8" s="11" t="n">
        <v>4</v>
      </c>
      <c r="B8" s="12" t="n">
        <v>46330</v>
      </c>
      <c r="C8" s="11" t="inlineStr">
        <is>
          <t>mercredi 4 nov.</t>
        </is>
      </c>
      <c r="D8" s="11" t="inlineStr">
        <is>
          <t>18:00</t>
        </is>
      </c>
      <c r="E8" s="11" t="inlineStr">
        <is>
          <t>TikTok</t>
        </is>
      </c>
      <c r="F8" s="11" t="inlineStr">
        <is>
          <t>TOMY</t>
        </is>
      </c>
      <c r="G8" s="11" t="inlineStr">
        <is>
          <t>Vidéo 20 s (défi)</t>
        </is>
      </c>
      <c r="H8" s="11" t="inlineStr">
        <is>
          <t>Rio Pop</t>
        </is>
      </c>
      <c r="I8" s="11" t="inlineStr">
        <is>
          <t>13 à 17 ans</t>
        </is>
      </c>
      <c r="J8" s="11" t="inlineStr">
        <is>
          <t>Défi Montre ta langue</t>
        </is>
      </c>
      <c r="K8" s="13" t="inlineStr">
        <is>
          <t>TOFU, se faire connaître</t>
        </is>
      </c>
      <c r="L8" s="11" t="inlineStr">
        <is>
          <t>Lancement du défi « Montre ta langue Rio Pop » (Tongue Painter)</t>
        </is>
      </c>
      <c r="M8" s="11" t="inlineStr">
        <is>
          <t>Montre ta langue, on devine ton parfum 👅</t>
        </is>
      </c>
      <c r="N8" s="11" t="inlineStr">
        <is>
          <t>Ta langue est de quelle couleur ce soir ?</t>
        </is>
      </c>
      <c r="O8" s="11" t="inlineStr">
        <is>
          <t>Montre ta langue, on devine ton parfum 👅🎨
Rio Pop Tongue Painter : la sucette qui colore la langue.
Fais le défi, mets #MontreTaLangueRioPop et identifie-nous !</t>
        </is>
      </c>
      <c r="P8" s="11" t="inlineStr">
        <is>
          <t>#MontreTaLangueRioPop #RioPop #TOMY #225</t>
        </is>
      </c>
      <c r="Q8" s="11" t="inlineStr">
        <is>
          <t>Fais le défi</t>
        </is>
      </c>
      <c r="R8" s="11" t="inlineStr">
        <is>
          <t>visuels/post04_langue.jpg</t>
        </is>
      </c>
      <c r="S8" s="14">
        <f>HYPERLINK("https://drive.google.com/file/d/1nfL9_7ZvtERBiY-HVTSQbY2K2lqGPujN/view?usp=drivesdk","Voir le visuel 4")</f>
        <v/>
      </c>
      <c r="T8" s="11" t="inlineStr">
        <is>
          <t>Koffi (tournage avec l'équipe, 13 ans et plus seulement)</t>
        </is>
      </c>
      <c r="U8" s="11" t="inlineStr">
        <is>
          <t>à valider</t>
        </is>
      </c>
    </row>
    <row r="9">
      <c r="A9" s="11" t="n">
        <v>5</v>
      </c>
      <c r="B9" s="12" t="n">
        <v>46331</v>
      </c>
      <c r="C9" s="11" t="inlineStr">
        <is>
          <t>jeudi 5 nov.</t>
        </is>
      </c>
      <c r="D9" s="11" t="inlineStr">
        <is>
          <t>18:00</t>
        </is>
      </c>
      <c r="E9" s="11" t="inlineStr">
        <is>
          <t>TikTok</t>
        </is>
      </c>
      <c r="F9" s="11" t="inlineStr">
        <is>
          <t>TOMY</t>
        </is>
      </c>
      <c r="G9" s="11" t="inlineStr">
        <is>
          <t>Sketch 25 s</t>
        </is>
      </c>
      <c r="H9" s="11" t="inlineStr">
        <is>
          <t>Super Mint</t>
        </is>
      </c>
      <c r="I9" s="11" t="inlineStr">
        <is>
          <t>Adultes 20 à 45 ans</t>
        </is>
      </c>
      <c r="J9" s="11" t="inlineStr">
        <is>
          <t>Fraîcheur de la route</t>
        </is>
      </c>
      <c r="K9" s="13" t="inlineStr">
        <is>
          <t>TOFU, se faire connaître</t>
        </is>
      </c>
      <c r="L9" s="11" t="inlineStr">
        <is>
          <t>Sketch « Le gbaka bondé » : le voisin qui a mangé l'attiéké poisson</t>
        </is>
      </c>
      <c r="M9" s="11" t="inlineStr">
        <is>
          <t>Dans le gbaka à 7 h, il te faut un Super Mint 😮‍💨</t>
        </is>
      </c>
      <c r="N9" s="11" t="inlineStr">
        <is>
          <t>Ton voisin de gbaka a mangé quoi ce matin ?</t>
        </is>
      </c>
      <c r="O9" s="11" t="inlineStr">
        <is>
          <t>Dans le gbaka à 7 h, il te faut un Super Mint 😮‍💨❄️
Ça glace fort !
Tague le collègue qui en a besoin 😂</t>
        </is>
      </c>
      <c r="P9" s="11" t="inlineStr">
        <is>
          <t>#SuperMint #TOMY #Abidjan #Gbaka</t>
        </is>
      </c>
      <c r="Q9" s="11" t="inlineStr">
        <is>
          <t>Tague un collègue</t>
        </is>
      </c>
      <c r="R9" s="11" t="inlineStr">
        <is>
          <t>visuels/post05_supermint_video.jpg</t>
        </is>
      </c>
      <c r="S9" s="14">
        <f>HYPERLINK("https://drive.google.com/file/d/1M9uA1-cTPxx_o0CXkiy4IinUK4pgsAJF/view?usp=drivesdk","Voir le visuel 5")</f>
        <v/>
      </c>
      <c r="T9" s="11" t="inlineStr">
        <is>
          <t>Koffi (sketch), Fatima (texte)</t>
        </is>
      </c>
      <c r="U9" s="11" t="inlineStr">
        <is>
          <t>à valider</t>
        </is>
      </c>
    </row>
    <row r="10">
      <c r="A10" s="11" t="n">
        <v>6</v>
      </c>
      <c r="B10" s="12" t="n">
        <v>46332</v>
      </c>
      <c r="C10" s="11" t="inlineStr">
        <is>
          <t>vendredi 6 nov.</t>
        </is>
      </c>
      <c r="D10" s="11" t="inlineStr">
        <is>
          <t>12:30</t>
        </is>
      </c>
      <c r="E10" s="11" t="inlineStr">
        <is>
          <t>Facebook</t>
        </is>
      </c>
      <c r="F10" s="11" t="inlineStr">
        <is>
          <t>Rio Pop @RioPop225</t>
        </is>
      </c>
      <c r="G10" s="11" t="inlineStr">
        <is>
          <t>Post photo</t>
        </is>
      </c>
      <c r="H10" s="11" t="inlineStr">
        <is>
          <t>Rio Pop</t>
        </is>
      </c>
      <c r="I10" s="11" t="inlineStr">
        <is>
          <t>Parents 25 à 45 ans</t>
        </is>
      </c>
      <c r="J10" s="11" t="inlineStr">
        <is>
          <t>Fêtes et anniversaires</t>
        </is>
      </c>
      <c r="K10" s="15" t="inlineStr">
        <is>
          <t>MOFU, faire considérer</t>
        </is>
      </c>
      <c r="L10" s="11" t="inlineStr">
        <is>
          <t>Idées goûter n°1 : la boîte à goûter du vendredi</t>
        </is>
      </c>
      <c r="M10" s="11" t="inlineStr">
        <is>
          <t>Vendredi, la boîte à goûter a droit à sa petite surprise 🍭</t>
        </is>
      </c>
      <c r="N10" s="11" t="inlineStr">
        <is>
          <t>Le goûter du vendredi, c'est sacré !</t>
        </is>
      </c>
      <c r="O10" s="11" t="inlineStr">
        <is>
          <t>Vendredi, la boîte à goûter a droit à sa petite surprise 🍭
Une sucette Rio Pop glissée à côté du goûter, et la semaine finit en couleur.
Et chez vous, c'est quoi la surprise du vendredi ? 👇</t>
        </is>
      </c>
      <c r="P10" s="11" t="inlineStr">
        <is>
          <t>#RioPop #RienNteStop #Goûter</t>
        </is>
      </c>
      <c r="Q10" s="11" t="inlineStr">
        <is>
          <t>Racontez en commentaire</t>
        </is>
      </c>
      <c r="R10" s="11" t="inlineStr">
        <is>
          <t>visuels/post06_gouter.jpg</t>
        </is>
      </c>
      <c r="S10" s="14">
        <f>HYPERLINK("https://drive.google.com/file/d/1ius3OsXMrFDSV9tqH-sNcICCzwmdwY8Z/view?usp=drivesdk","Voir le visuel 6")</f>
        <v/>
      </c>
      <c r="T10" s="11" t="inlineStr">
        <is>
          <t>Koffi, Prisca Yao</t>
        </is>
      </c>
      <c r="U10" s="11" t="inlineStr">
        <is>
          <t>à valider</t>
        </is>
      </c>
    </row>
    <row r="11">
      <c r="A11" s="11" t="n">
        <v>7</v>
      </c>
      <c r="B11" s="12" t="n">
        <v>46332</v>
      </c>
      <c r="C11" s="11" t="inlineStr">
        <is>
          <t>vendredi 6 nov.</t>
        </is>
      </c>
      <c r="D11" s="11" t="inlineStr">
        <is>
          <t>19:00</t>
        </is>
      </c>
      <c r="E11" s="11" t="inlineStr">
        <is>
          <t>Instagram</t>
        </is>
      </c>
      <c r="F11" s="11" t="inlineStr">
        <is>
          <t>Rio Pop</t>
        </is>
      </c>
      <c r="G11" s="11" t="inlineStr">
        <is>
          <t>Reel (reprise TikTok)</t>
        </is>
      </c>
      <c r="H11" s="11" t="inlineStr">
        <is>
          <t>Rio Pop</t>
        </is>
      </c>
      <c r="I11" s="11" t="inlineStr">
        <is>
          <t>Ados 13 à 17 ans</t>
        </is>
      </c>
      <c r="J11" s="11" t="inlineStr">
        <is>
          <t>Défi Montre ta langue</t>
        </is>
      </c>
      <c r="K11" s="13" t="inlineStr">
        <is>
          <t>TOFU, se faire connaître</t>
        </is>
      </c>
      <c r="L11" s="11" t="inlineStr">
        <is>
          <t>Reprise du défi « Montre ta langue »</t>
        </is>
      </c>
      <c r="M11" s="11" t="inlineStr">
        <is>
          <t>Langue bleue, rouge ou violette ? 👅</t>
        </is>
      </c>
      <c r="N11" s="11" t="inlineStr">
        <is>
          <t>Le défi qui colore Babi.</t>
        </is>
      </c>
      <c r="O11" s="11" t="inlineStr">
        <is>
          <t>Langue bleue, rouge ou violette ? 👅🎨
Le défi #MontreTaLangueRioPop est lancé. Montre-nous la tienne en story et identifie @riopop !</t>
        </is>
      </c>
      <c r="P11" s="11" t="inlineStr">
        <is>
          <t>#MontreTaLangueRioPop #RioPop #RienNteStop #TOMY #Abidjan #225 #Babi #Défi #Sucette</t>
        </is>
      </c>
      <c r="Q11" s="11" t="inlineStr">
        <is>
          <t>Fais le défi en story</t>
        </is>
      </c>
      <c r="R11" s="11" t="inlineStr">
        <is>
          <t>visuels/post07_langue.jpg</t>
        </is>
      </c>
      <c r="S11" s="14">
        <f>HYPERLINK("https://drive.google.com/file/d/1RWb0RwuZb7DtJP5-zkc5xU-497MwbopH/view?usp=drivesdk","Voir le visuel 7")</f>
        <v/>
      </c>
      <c r="T11" s="11" t="inlineStr">
        <is>
          <t>Prisca Yao</t>
        </is>
      </c>
      <c r="U11" s="11" t="inlineStr">
        <is>
          <t>à valider</t>
        </is>
      </c>
    </row>
    <row r="12">
      <c r="A12" s="11" t="n">
        <v>8</v>
      </c>
      <c r="B12" s="12" t="n">
        <v>46333</v>
      </c>
      <c r="C12" s="11" t="inlineStr">
        <is>
          <t>samedi 7 nov.</t>
        </is>
      </c>
      <c r="D12" s="11" t="inlineStr">
        <is>
          <t>18:00</t>
        </is>
      </c>
      <c r="E12" s="11" t="inlineStr">
        <is>
          <t>TikTok</t>
        </is>
      </c>
      <c r="F12" s="11" t="inlineStr">
        <is>
          <t>TOMY</t>
        </is>
      </c>
      <c r="G12" s="11" t="inlineStr">
        <is>
          <t>Sketch 25 s</t>
        </is>
      </c>
      <c r="H12" s="11" t="inlineStr">
        <is>
          <t>Super Gnamakou</t>
        </is>
      </c>
      <c r="I12" s="11" t="inlineStr">
        <is>
          <t>Adultes 20 à 45 ans</t>
        </is>
      </c>
      <c r="J12" s="11" t="inlineStr">
        <is>
          <t>Fraîcheur de la route</t>
        </is>
      </c>
      <c r="K12" s="13" t="inlineStr">
        <is>
          <t>TOFU, se faire connaître</t>
        </is>
      </c>
      <c r="L12" s="11" t="inlineStr">
        <is>
          <t>Sketch « Après le garba » : Super Gnamakou au gingembre</t>
        </is>
      </c>
      <c r="M12" s="11" t="inlineStr">
        <is>
          <t>Garba fini, Gnamakou servi 🔥</t>
        </is>
      </c>
      <c r="N12" s="11" t="inlineStr">
        <is>
          <t>Après le garba, il faut le gingembre !</t>
        </is>
      </c>
      <c r="O12" s="11" t="inlineStr">
        <is>
          <t>Garba fini, Gnamakou servi 🔥
Super Gnamakou au gingembre : ça chauffe grave !
Toi, c'est menthe ou gingembre après manger ? 👇</t>
        </is>
      </c>
      <c r="P12" s="11" t="inlineStr">
        <is>
          <t>#SuperGnamakou #TOMY #Garba #225</t>
        </is>
      </c>
      <c r="Q12" s="11" t="inlineStr">
        <is>
          <t>Réponds en commentaire</t>
        </is>
      </c>
      <c r="R12" s="11" t="inlineStr">
        <is>
          <t>visuels/post08_gnamakou_video.jpg</t>
        </is>
      </c>
      <c r="S12" s="14">
        <f>HYPERLINK("https://drive.google.com/file/d/1ARbtwNzA54HqnbkuegiCfxmVWzWbq7-V/view?usp=drivesdk","Voir le visuel 8")</f>
        <v/>
      </c>
      <c r="T12" s="11" t="inlineStr">
        <is>
          <t>Koffi, Fatima</t>
        </is>
      </c>
      <c r="U12" s="11" t="inlineStr">
        <is>
          <t>à valider</t>
        </is>
      </c>
    </row>
    <row r="13">
      <c r="A13" s="11" t="n">
        <v>9</v>
      </c>
      <c r="B13" s="12" t="n">
        <v>46333</v>
      </c>
      <c r="C13" s="11" t="inlineStr">
        <is>
          <t>samedi 7 nov.</t>
        </is>
      </c>
      <c r="D13" s="11" t="inlineStr">
        <is>
          <t>12:30</t>
        </is>
      </c>
      <c r="E13" s="11" t="inlineStr">
        <is>
          <t>Facebook</t>
        </is>
      </c>
      <c r="F13" s="11" t="inlineStr">
        <is>
          <t>Unifood</t>
        </is>
      </c>
      <c r="G13" s="11" t="inlineStr">
        <is>
          <t>Vidéo (reprise TikTok)</t>
        </is>
      </c>
      <c r="H13" s="11" t="inlineStr">
        <is>
          <t>Super Mint</t>
        </is>
      </c>
      <c r="I13" s="11" t="inlineStr">
        <is>
          <t>Adultes 20 à 45 ans</t>
        </is>
      </c>
      <c r="J13" s="11" t="inlineStr">
        <is>
          <t>Fraîcheur de la route</t>
        </is>
      </c>
      <c r="K13" s="13" t="inlineStr">
        <is>
          <t>TOFU, se faire connaître</t>
        </is>
      </c>
      <c r="L13" s="11" t="inlineStr">
        <is>
          <t>Reprise du sketch « Le gbaka bondé »</t>
        </is>
      </c>
      <c r="M13" s="11" t="inlineStr">
        <is>
          <t>On a tous connu ce voisin de gbaka 😅</t>
        </is>
      </c>
      <c r="N13" s="11" t="inlineStr">
        <is>
          <t>7 h du matin, le gbaka, et ce voisin...</t>
        </is>
      </c>
      <c r="O13" s="11" t="inlineStr">
        <is>
          <t>On a tous connu ce voisin de gbaka 😅
Heureusement, il y a Super Mint. Ça glace fort ! ❄️
Partagez à celui qui doit voir ça 😂</t>
        </is>
      </c>
      <c r="P13" s="11" t="inlineStr">
        <is>
          <t>#SuperMint #TOMY</t>
        </is>
      </c>
      <c r="Q13" s="11" t="inlineStr">
        <is>
          <t>Partagez</t>
        </is>
      </c>
      <c r="R13" s="11" t="inlineStr">
        <is>
          <t>visuels/post09_supermint_video.jpg</t>
        </is>
      </c>
      <c r="S13" s="14">
        <f>HYPERLINK("https://drive.google.com/file/d/1G24sTkVyLpiTMNdD5D1N0LqQ4fyhwIZR/view?usp=drivesdk","Voir le visuel 9")</f>
        <v/>
      </c>
      <c r="T13" s="11" t="inlineStr">
        <is>
          <t>Prisca Yao</t>
        </is>
      </c>
      <c r="U13" s="11" t="inlineStr">
        <is>
          <t>à valider</t>
        </is>
      </c>
    </row>
    <row r="14">
      <c r="A14" s="11" t="n">
        <v>10</v>
      </c>
      <c r="B14" s="12" t="n">
        <v>46334</v>
      </c>
      <c r="C14" s="11" t="inlineStr">
        <is>
          <t>dimanche 8 nov.</t>
        </is>
      </c>
      <c r="D14" s="11" t="inlineStr">
        <is>
          <t>16:00</t>
        </is>
      </c>
      <c r="E14" s="11" t="inlineStr">
        <is>
          <t>Facebook</t>
        </is>
      </c>
      <c r="F14" s="11" t="inlineStr">
        <is>
          <t>Rio Pop @RioPop225</t>
        </is>
      </c>
      <c r="G14" s="11" t="inlineStr">
        <is>
          <t>Post photo</t>
        </is>
      </c>
      <c r="H14" s="11" t="inlineStr">
        <is>
          <t>Rio Pop</t>
        </is>
      </c>
      <c r="I14" s="11" t="inlineStr">
        <is>
          <t>Parents 25 à 45 ans</t>
        </is>
      </c>
      <c r="J14" s="11" t="inlineStr">
        <is>
          <t>Fêtes et anniversaires</t>
        </is>
      </c>
      <c r="K14" s="15" t="inlineStr">
        <is>
          <t>MOFU, faire considérer</t>
        </is>
      </c>
      <c r="L14" s="11" t="inlineStr">
        <is>
          <t>Déco de fête n°1 : le bouquet de sucettes</t>
        </is>
      </c>
      <c r="M14" s="11" t="inlineStr">
        <is>
          <t>Le centre de table qui disparaît en 5 minutes 🎈</t>
        </is>
      </c>
      <c r="N14" s="11" t="inlineStr">
        <is>
          <t>Un bouquet qui se mange ? Oui !</t>
        </is>
      </c>
      <c r="O14" s="11" t="inlineStr">
        <is>
          <t>Le centre de table qui disparaît en 5 minutes 🎈🍭
Prenez un pot, du papier coloré, et plantez-y vos sucettes Rio Pop par couleur. Les enfants se servent à la fin de la fête.
Enregistrez l'idée pour le prochain anniversaire 📌</t>
        </is>
      </c>
      <c r="P14" s="11" t="inlineStr">
        <is>
          <t>#RioPop #Anniversaire #DécoDeFête</t>
        </is>
      </c>
      <c r="Q14" s="11" t="inlineStr">
        <is>
          <t>Enregistrez l'idée</t>
        </is>
      </c>
      <c r="R14" s="11" t="inlineStr">
        <is>
          <t>visuels/post10_bouquet.jpg</t>
        </is>
      </c>
      <c r="S14" s="14">
        <f>HYPERLINK("https://drive.google.com/file/d/1b_2Iwjcx2WvD4vRqsu4bgFZ3unnWdTgy/view?usp=drivesdk","Voir le visuel 10")</f>
        <v/>
      </c>
      <c r="T14" s="11" t="inlineStr">
        <is>
          <t>Koffi (photo), Prisca Yao</t>
        </is>
      </c>
      <c r="U14" s="11" t="inlineStr">
        <is>
          <t>à valider</t>
        </is>
      </c>
    </row>
    <row r="15">
      <c r="A15" s="11" t="n">
        <v>11</v>
      </c>
      <c r="B15" s="12" t="n">
        <v>46334</v>
      </c>
      <c r="C15" s="11" t="inlineStr">
        <is>
          <t>dimanche 8 nov.</t>
        </is>
      </c>
      <c r="D15" s="11" t="inlineStr">
        <is>
          <t>19:00</t>
        </is>
      </c>
      <c r="E15" s="11" t="inlineStr">
        <is>
          <t>Instagram</t>
        </is>
      </c>
      <c r="F15" s="11" t="inlineStr">
        <is>
          <t>Rio Pop</t>
        </is>
      </c>
      <c r="G15" s="11" t="inlineStr">
        <is>
          <t>Post carré</t>
        </is>
      </c>
      <c r="H15" s="11" t="inlineStr">
        <is>
          <t>Rio Pop</t>
        </is>
      </c>
      <c r="I15" s="11" t="inlineStr">
        <is>
          <t>Parents 25 à 45 ans</t>
        </is>
      </c>
      <c r="J15" s="11" t="inlineStr">
        <is>
          <t>Fêtes et anniversaires</t>
        </is>
      </c>
      <c r="K15" s="15" t="inlineStr">
        <is>
          <t>MOFU, faire considérer</t>
        </is>
      </c>
      <c r="L15" s="11" t="inlineStr">
        <is>
          <t>Reprise du bouquet de sucettes</t>
        </is>
      </c>
      <c r="M15" s="11" t="inlineStr">
        <is>
          <t>Le bouquet qui fait la fête 🎈</t>
        </is>
      </c>
      <c r="N15" s="11" t="inlineStr">
        <is>
          <t>L'idée déco à enregistrer.</t>
        </is>
      </c>
      <c r="O15" s="11" t="inlineStr">
        <is>
          <t>Le bouquet qui fait la fête 🎈🍭
1 pot, du papier coloré, des sucettes Rio Pop rangées par couleur.
Les enfants se servent en partant.
📌 Enregistrez pour le prochain anniversaire !</t>
        </is>
      </c>
      <c r="P15" s="11" t="inlineStr">
        <is>
          <t>#RioPop #RienNteStop #Anniversaire #DécoAnniversaire #FêteEnfant #Abidjan #225 #Babi #IdéeDéco</t>
        </is>
      </c>
      <c r="Q15" s="11" t="inlineStr">
        <is>
          <t>Enregistrez</t>
        </is>
      </c>
      <c r="R15" s="11" t="inlineStr">
        <is>
          <t>visuels/post11_bouquet.jpg</t>
        </is>
      </c>
      <c r="S15" s="14">
        <f>HYPERLINK("https://drive.google.com/file/d/1n81fEZ8k5wI5-3H3DGsqPpdT13FTm5Tr/view?usp=drivesdk","Voir le visuel 11")</f>
        <v/>
      </c>
      <c r="T15" s="11" t="inlineStr">
        <is>
          <t>Prisca Yao</t>
        </is>
      </c>
      <c r="U15" s="11" t="inlineStr">
        <is>
          <t>à valider</t>
        </is>
      </c>
    </row>
    <row r="16">
      <c r="A16" s="11" t="n">
        <v>12</v>
      </c>
      <c r="B16" s="12" t="n">
        <v>46335</v>
      </c>
      <c r="C16" s="11" t="inlineStr">
        <is>
          <t>lundi 9 nov.</t>
        </is>
      </c>
      <c r="D16" s="11" t="inlineStr">
        <is>
          <t>18:00</t>
        </is>
      </c>
      <c r="E16" s="11" t="inlineStr">
        <is>
          <t>TikTok</t>
        </is>
      </c>
      <c r="F16" s="11" t="inlineStr">
        <is>
          <t>TOMY</t>
        </is>
      </c>
      <c r="G16" s="11" t="inlineStr">
        <is>
          <t>Vidéo 15 s</t>
        </is>
      </c>
      <c r="H16" s="11" t="inlineStr">
        <is>
          <t>Rio Pop</t>
        </is>
      </c>
      <c r="I16" s="11" t="inlineStr">
        <is>
          <t>13 à 17 ans</t>
        </is>
      </c>
      <c r="J16" s="11" t="inlineStr">
        <is>
          <t>Défi Montre ta langue</t>
        </is>
      </c>
      <c r="K16" s="13" t="inlineStr">
        <is>
          <t>TOFU, se faire connaître</t>
        </is>
      </c>
      <c r="L16" s="11" t="inlineStr">
        <is>
          <t>Meilleures langues de la semaine 1 (reprises des abonnés, avec leur accord)</t>
        </is>
      </c>
      <c r="M16" s="11" t="inlineStr">
        <is>
          <t>Vous avez fait le défi, on a vu vos langues 😂</t>
        </is>
      </c>
      <c r="N16" s="11" t="inlineStr">
        <is>
          <t>Top 3 des langues les plus colorées !</t>
        </is>
      </c>
      <c r="O16" s="11" t="inlineStr">
        <is>
          <t>Vous avez fait le défi, on a vu vos langues 😂👅
Voici notre top 3 de la semaine. La tienne est la prochaine ?
#MontreTaLangueRioPop</t>
        </is>
      </c>
      <c r="P16" s="11" t="inlineStr">
        <is>
          <t>#MontreTaLangueRioPop #RioPop #TOMY #225</t>
        </is>
      </c>
      <c r="Q16" s="11" t="inlineStr">
        <is>
          <t>Fais le défi</t>
        </is>
      </c>
      <c r="R16" s="11" t="inlineStr">
        <is>
          <t>visuels/post12_langue.jpg</t>
        </is>
      </c>
      <c r="S16" s="14">
        <f>HYPERLINK("https://drive.google.com/file/d/1PNPAKbzm9IufeKN4QtfpIg5A7UbQbpro/view?usp=drivesdk","Voir le visuel 12")</f>
        <v/>
      </c>
      <c r="T16" s="11" t="inlineStr">
        <is>
          <t>Prisca Yao (accord écrit de chaque abonné repris)</t>
        </is>
      </c>
      <c r="U16" s="11" t="inlineStr">
        <is>
          <t>à valider</t>
        </is>
      </c>
    </row>
    <row r="17">
      <c r="A17" s="11" t="n">
        <v>13</v>
      </c>
      <c r="B17" s="12" t="n">
        <v>46336</v>
      </c>
      <c r="C17" s="11" t="inlineStr">
        <is>
          <t>mardi 10 nov.</t>
        </is>
      </c>
      <c r="D17" s="11" t="inlineStr">
        <is>
          <t>12:30</t>
        </is>
      </c>
      <c r="E17" s="11" t="inlineStr">
        <is>
          <t>Facebook</t>
        </is>
      </c>
      <c r="F17" s="11" t="inlineStr">
        <is>
          <t>Rio Pop @RioPop225</t>
        </is>
      </c>
      <c r="G17" s="11" t="inlineStr">
        <is>
          <t>Post photo</t>
        </is>
      </c>
      <c r="H17" s="11" t="inlineStr">
        <is>
          <t>Rio Pop</t>
        </is>
      </c>
      <c r="I17" s="11" t="inlineStr">
        <is>
          <t>Parents 25 à 45 ans</t>
        </is>
      </c>
      <c r="J17" s="11" t="inlineStr">
        <is>
          <t>Couleurs et fun</t>
        </is>
      </c>
      <c r="K17" s="15" t="inlineStr">
        <is>
          <t>MOFU, faire considérer</t>
        </is>
      </c>
      <c r="L17" s="11" t="inlineStr">
        <is>
          <t>Résultat du vote des parfums</t>
        </is>
      </c>
      <c r="M17" s="11" t="inlineStr">
        <is>
          <t>Vous avez voté : le parfum n°1, c'est... ⟦résultat du vote⟧ !</t>
        </is>
      </c>
      <c r="N17" s="11" t="inlineStr">
        <is>
          <t>Le verdict est tombé 🏆</t>
        </is>
      </c>
      <c r="O17" s="11" t="inlineStr">
        <is>
          <t>Vous avez voté, et le parfum n°1 chez vous c'est... ⟦résultat du vote du 3 novembre⟧ ! 🏆🍭
Merci pour vos ⟦nombre⟧ commentaires.
Votre parfum n'a pas gagné ? Défendez-le ici 👇</t>
        </is>
      </c>
      <c r="P17" s="11" t="inlineStr">
        <is>
          <t>#RioPop #RienNteStop</t>
        </is>
      </c>
      <c r="Q17" s="11" t="inlineStr">
        <is>
          <t>Commentez</t>
        </is>
      </c>
      <c r="R17" s="11" t="inlineStr">
        <is>
          <t>visuels/post13_parfums.jpg</t>
        </is>
      </c>
      <c r="S17" s="14">
        <f>HYPERLINK("https://drive.google.com/file/d/1StJe-UQlkHXWSvS_2pAecP14bZiMGycR/view?usp=drivesdk","Voir le visuel 13")</f>
        <v/>
      </c>
      <c r="T17" s="11" t="inlineStr">
        <is>
          <t>Prisca Yao</t>
        </is>
      </c>
      <c r="U17" s="16" t="inlineStr">
        <is>
          <t>à compléter le jour même</t>
        </is>
      </c>
    </row>
    <row r="18">
      <c r="A18" s="11" t="n">
        <v>14</v>
      </c>
      <c r="B18" s="12" t="n">
        <v>46336</v>
      </c>
      <c r="C18" s="11" t="inlineStr">
        <is>
          <t>mardi 10 nov.</t>
        </is>
      </c>
      <c r="D18" s="11" t="inlineStr">
        <is>
          <t>19:00</t>
        </is>
      </c>
      <c r="E18" s="11" t="inlineStr">
        <is>
          <t>Instagram</t>
        </is>
      </c>
      <c r="F18" s="11" t="inlineStr">
        <is>
          <t>Rio Pop</t>
        </is>
      </c>
      <c r="G18" s="11" t="inlineStr">
        <is>
          <t>Story sondage + post</t>
        </is>
      </c>
      <c r="H18" s="11" t="inlineStr">
        <is>
          <t>Rio Pop</t>
        </is>
      </c>
      <c r="I18" s="11" t="inlineStr">
        <is>
          <t>Ados 13 à 17 ans</t>
        </is>
      </c>
      <c r="J18" s="11" t="inlineStr">
        <is>
          <t>Couleurs et fun</t>
        </is>
      </c>
      <c r="K18" s="15" t="inlineStr">
        <is>
          <t>MOFU, faire considérer</t>
        </is>
      </c>
      <c r="L18" s="11" t="inlineStr">
        <is>
          <t>Sondage « Mangue ou passion ? »</t>
        </is>
      </c>
      <c r="M18" s="11" t="inlineStr">
        <is>
          <t>Mangue ou passion ? Tu as 24 h pour choisir 🥭</t>
        </is>
      </c>
      <c r="N18" s="11" t="inlineStr">
        <is>
          <t>Un seul parfum pour toute la semaine : lequel ?</t>
        </is>
      </c>
      <c r="O18" s="11" t="inlineStr">
        <is>
          <t>Mangue ou passion ? Tu as 24 h pour choisir 🥭💛
Vote dans notre story !</t>
        </is>
      </c>
      <c r="P18" s="11" t="inlineStr">
        <is>
          <t>#RioPop #RienNteStop #TOMY #Abidjan #225 #Babi #Sondage #Sucette</t>
        </is>
      </c>
      <c r="Q18" s="11" t="inlineStr">
        <is>
          <t>Vote en story</t>
        </is>
      </c>
      <c r="R18" s="11" t="inlineStr">
        <is>
          <t>visuels/post14_mangue_passion.jpg</t>
        </is>
      </c>
      <c r="S18" s="14">
        <f>HYPERLINK("https://drive.google.com/file/d/1od4CxR2jpilD-3gLvOKNCiOibREfvjX-/view?usp=drivesdk","Voir le visuel 14")</f>
        <v/>
      </c>
      <c r="T18" s="11" t="inlineStr">
        <is>
          <t>Prisca Yao</t>
        </is>
      </c>
      <c r="U18" s="11" t="inlineStr">
        <is>
          <t>à valider</t>
        </is>
      </c>
    </row>
    <row r="19">
      <c r="A19" s="11" t="n">
        <v>15</v>
      </c>
      <c r="B19" s="12" t="n">
        <v>46337</v>
      </c>
      <c r="C19" s="11" t="inlineStr">
        <is>
          <t>mercredi 11 nov.</t>
        </is>
      </c>
      <c r="D19" s="11" t="inlineStr">
        <is>
          <t>18:00</t>
        </is>
      </c>
      <c r="E19" s="11" t="inlineStr">
        <is>
          <t>TikTok</t>
        </is>
      </c>
      <c r="F19" s="11" t="inlineStr">
        <is>
          <t>TOMY</t>
        </is>
      </c>
      <c r="G19" s="11" t="inlineStr">
        <is>
          <t>Vidéo 20 s</t>
        </is>
      </c>
      <c r="H19" s="11" t="inlineStr">
        <is>
          <t>Rio Pop Ice Cream</t>
        </is>
      </c>
      <c r="I19" s="11" t="inlineStr">
        <is>
          <t>13 à 17 ans</t>
        </is>
      </c>
      <c r="J19" s="11" t="inlineStr">
        <is>
          <t>Couleurs et fun</t>
        </is>
      </c>
      <c r="K19" s="13" t="inlineStr">
        <is>
          <t>TOFU, se faire connaître</t>
        </is>
      </c>
      <c r="L19" s="11" t="inlineStr">
        <is>
          <t>ASMR déballage Rio Pop Ice Cream</t>
        </is>
      </c>
      <c r="M19" s="11" t="inlineStr">
        <is>
          <t>Le bruit du papier Rio Pop Ice Cream 🔊</t>
        </is>
      </c>
      <c r="N19" s="11" t="inlineStr">
        <is>
          <t>Rio Pop Ice Cream, tu connais ?</t>
        </is>
      </c>
      <c r="O19" s="11" t="inlineStr">
        <is>
          <t>Le bruit du papier, puis le goût Ice Cream 🔊🍦
Rio Pop Ice Cream, tu as déjà goûté ?</t>
        </is>
      </c>
      <c r="P19" s="11" t="inlineStr">
        <is>
          <t>#RioPop #ASMR #TOMY #225</t>
        </is>
      </c>
      <c r="Q19" s="11" t="inlineStr">
        <is>
          <t>Dis-nous en commentaire</t>
        </is>
      </c>
      <c r="R19" s="11" t="inlineStr">
        <is>
          <t>visuels/post15_icecream.jpg</t>
        </is>
      </c>
      <c r="S19" s="14">
        <f>HYPERLINK("https://drive.google.com/file/d/1iPbCxM5Y5as7it3rZ7Ilz4OkGInDDwlc/view?usp=drivesdk","Voir le visuel 15")</f>
        <v/>
      </c>
      <c r="T19" s="11" t="inlineStr">
        <is>
          <t>Koffi</t>
        </is>
      </c>
      <c r="U19" s="11" t="inlineStr">
        <is>
          <t>à valider</t>
        </is>
      </c>
    </row>
    <row r="20">
      <c r="A20" s="11" t="n">
        <v>16</v>
      </c>
      <c r="B20" s="12" t="n">
        <v>46338</v>
      </c>
      <c r="C20" s="11" t="inlineStr">
        <is>
          <t>jeudi 12 nov.</t>
        </is>
      </c>
      <c r="D20" s="11" t="inlineStr">
        <is>
          <t>12:30</t>
        </is>
      </c>
      <c r="E20" s="11" t="inlineStr">
        <is>
          <t>Facebook</t>
        </is>
      </c>
      <c r="F20" s="11" t="inlineStr">
        <is>
          <t>Rio Pop @RioPop225</t>
        </is>
      </c>
      <c r="G20" s="11" t="inlineStr">
        <is>
          <t>Post audio + visuel</t>
        </is>
      </c>
      <c r="H20" s="11" t="inlineStr">
        <is>
          <t>Rio Pop</t>
        </is>
      </c>
      <c r="I20" s="11" t="inlineStr">
        <is>
          <t>Parents 25 à 45 ans</t>
        </is>
      </c>
      <c r="J20" s="11" t="inlineStr">
        <is>
          <t>Couleurs et fun</t>
        </is>
      </c>
      <c r="K20" s="13" t="inlineStr">
        <is>
          <t>TOFU, se faire connaître</t>
        </is>
      </c>
      <c r="L20" s="11" t="inlineStr">
        <is>
          <t>« Vous nous avez entendus à la radio ? » (spot en cours depuis le 9 nov.)</t>
        </is>
      </c>
      <c r="M20" s="11" t="inlineStr">
        <is>
          <t>Vous avez entendu Rio Pop à la radio ? 📻</t>
        </is>
      </c>
      <c r="N20" s="11" t="inlineStr">
        <is>
          <t>Le spot que vos enfants chantent déjà...</t>
        </is>
      </c>
      <c r="O20" s="11" t="inlineStr">
        <is>
          <t>Vous avez entendu Rio Pop à la radio cette semaine ? 📻🍭
Rio Pop, rien n'te stop ! Écoutez le spot ici et dites-nous sur quelle radio vous l'avez entendu.</t>
        </is>
      </c>
      <c r="P20" s="11" t="inlineStr">
        <is>
          <t>#RioPop #RienNteStop</t>
        </is>
      </c>
      <c r="Q20" s="11" t="inlineStr">
        <is>
          <t>Dites-nous en commentaire</t>
        </is>
      </c>
      <c r="R20" s="11" t="inlineStr">
        <is>
          <t>visuels/post16_radio.jpg</t>
        </is>
      </c>
      <c r="S20" s="14">
        <f>HYPERLINK("https://drive.google.com/file/d/1Y3VJRBtFolojd-g9BzBgpKjTDVV5zVVi/view?usp=drivesdk","Voir le visuel 16")</f>
        <v/>
      </c>
      <c r="T20" s="11" t="inlineStr">
        <is>
          <t>Prisca Yao (après diffusion confirmée par la régie)</t>
        </is>
      </c>
      <c r="U20" s="11" t="inlineStr">
        <is>
          <t>à valider</t>
        </is>
      </c>
    </row>
    <row r="21">
      <c r="A21" s="11" t="n">
        <v>17</v>
      </c>
      <c r="B21" s="12" t="n">
        <v>46338</v>
      </c>
      <c r="C21" s="11" t="inlineStr">
        <is>
          <t>jeudi 12 nov.</t>
        </is>
      </c>
      <c r="D21" s="11" t="inlineStr">
        <is>
          <t>18:00</t>
        </is>
      </c>
      <c r="E21" s="11" t="inlineStr">
        <is>
          <t>TikTok</t>
        </is>
      </c>
      <c r="F21" s="11" t="inlineStr">
        <is>
          <t>TOMY</t>
        </is>
      </c>
      <c r="G21" s="11" t="inlineStr">
        <is>
          <t>Sketch 25 s</t>
        </is>
      </c>
      <c r="H21" s="11" t="inlineStr">
        <is>
          <t>Tempo</t>
        </is>
      </c>
      <c r="I21" s="11" t="inlineStr">
        <is>
          <t>Adultes 20 à 45 ans</t>
        </is>
      </c>
      <c r="J21" s="11" t="inlineStr">
        <is>
          <t>Fraîcheur de la route</t>
        </is>
      </c>
      <c r="K21" s="13" t="inlineStr">
        <is>
          <t>TOFU, se faire connaître</t>
        </is>
      </c>
      <c r="L21" s="11" t="inlineStr">
        <is>
          <t>Sketch « Réunion de 8 h » : Tempo menthe noire</t>
        </is>
      </c>
      <c r="M21" s="11" t="inlineStr">
        <is>
          <t>Réunion à 8 h, le chef parle de près 😶</t>
        </is>
      </c>
      <c r="N21" s="11" t="inlineStr">
        <is>
          <t>Le collègue qui fait sa présentation trop près...</t>
        </is>
      </c>
      <c r="O21" s="11" t="inlineStr">
        <is>
          <t>Réunion à 8 h, le chef parle de près 😶
Tempo, un max de fraîcheur ! Pour toi... ou pour lui 😂</t>
        </is>
      </c>
      <c r="P21" s="11" t="inlineStr">
        <is>
          <t>#Tempo #TOMY #Bureau #225</t>
        </is>
      </c>
      <c r="Q21" s="11" t="inlineStr">
        <is>
          <t>Tague ton collègue</t>
        </is>
      </c>
      <c r="R21" s="11" t="inlineStr">
        <is>
          <t>visuels/post17_tempo_video.jpg</t>
        </is>
      </c>
      <c r="S21" s="14">
        <f>HYPERLINK("https://drive.google.com/file/d/1I424rU6oYYvKwVRc3Tnm2qdxVwH8y5es/view?usp=drivesdk","Voir le visuel 17")</f>
        <v/>
      </c>
      <c r="T21" s="11" t="inlineStr">
        <is>
          <t>Koffi, Fatima</t>
        </is>
      </c>
      <c r="U21" s="11" t="inlineStr">
        <is>
          <t>à valider</t>
        </is>
      </c>
    </row>
    <row r="22">
      <c r="A22" s="11" t="n">
        <v>18</v>
      </c>
      <c r="B22" s="12" t="n">
        <v>46339</v>
      </c>
      <c r="C22" s="11" t="inlineStr">
        <is>
          <t>vendredi 13 nov.</t>
        </is>
      </c>
      <c r="D22" s="11" t="inlineStr">
        <is>
          <t>19:00</t>
        </is>
      </c>
      <c r="E22" s="11" t="inlineStr">
        <is>
          <t>Instagram</t>
        </is>
      </c>
      <c r="F22" s="11" t="inlineStr">
        <is>
          <t>Rio Pop</t>
        </is>
      </c>
      <c r="G22" s="11" t="inlineStr">
        <is>
          <t>Reel (reprise TikTok)</t>
        </is>
      </c>
      <c r="H22" s="11" t="inlineStr">
        <is>
          <t>Rio Pop Ice Cream</t>
        </is>
      </c>
      <c r="I22" s="11" t="inlineStr">
        <is>
          <t>Ados 13 à 17 ans</t>
        </is>
      </c>
      <c r="J22" s="11" t="inlineStr">
        <is>
          <t>Couleurs et fun</t>
        </is>
      </c>
      <c r="K22" s="13" t="inlineStr">
        <is>
          <t>TOFU, se faire connaître</t>
        </is>
      </c>
      <c r="L22" s="11" t="inlineStr">
        <is>
          <t>Reprise ASMR Rio Pop Ice Cream</t>
        </is>
      </c>
      <c r="M22" s="11" t="inlineStr">
        <is>
          <t>Monte le son 🔊</t>
        </is>
      </c>
      <c r="N22" s="11" t="inlineStr">
        <is>
          <t>Le déballage le plus satisfaisant de Babi.</t>
        </is>
      </c>
      <c r="O22" s="11" t="inlineStr">
        <is>
          <t>Monte le son 🔊🍦
Rio Pop Ice Cream : le papier, le craquant, puis le chewing-gum.</t>
        </is>
      </c>
      <c r="P22" s="11" t="inlineStr">
        <is>
          <t>#RioPop #RienNteStop #TOMY #ASMR #Abidjan #225 #Babi #Sucette</t>
        </is>
      </c>
      <c r="Q22" s="11" t="inlineStr">
        <is>
          <t>Partage en story</t>
        </is>
      </c>
      <c r="R22" s="11" t="inlineStr">
        <is>
          <t>visuels/post18_icecream.jpg</t>
        </is>
      </c>
      <c r="S22" s="14">
        <f>HYPERLINK("https://drive.google.com/file/d/1HMVWAcY24aG6VXK0v_18u1sWLhUrpDta/view?usp=drivesdk","Voir le visuel 18")</f>
        <v/>
      </c>
      <c r="T22" s="11" t="inlineStr">
        <is>
          <t>Prisca Yao</t>
        </is>
      </c>
      <c r="U22" s="11" t="inlineStr">
        <is>
          <t>à valider</t>
        </is>
      </c>
    </row>
    <row r="23">
      <c r="A23" s="11" t="n">
        <v>19</v>
      </c>
      <c r="B23" s="12" t="n">
        <v>46340</v>
      </c>
      <c r="C23" s="11" t="inlineStr">
        <is>
          <t>samedi 14 nov.</t>
        </is>
      </c>
      <c r="D23" s="11" t="inlineStr">
        <is>
          <t>12:30</t>
        </is>
      </c>
      <c r="E23" s="11" t="inlineStr">
        <is>
          <t>Facebook</t>
        </is>
      </c>
      <c r="F23" s="11" t="inlineStr">
        <is>
          <t>Unifood</t>
        </is>
      </c>
      <c r="G23" s="11" t="inlineStr">
        <is>
          <t>Post photo</t>
        </is>
      </c>
      <c r="H23" s="11" t="inlineStr">
        <is>
          <t>Unifood (groupe)</t>
        </is>
      </c>
      <c r="I23" s="11" t="inlineStr">
        <is>
          <t>Tous</t>
        </is>
      </c>
      <c r="J23" s="11" t="inlineStr">
        <is>
          <t>Coulisses qualité</t>
        </is>
      </c>
      <c r="K23" s="15" t="inlineStr">
        <is>
          <t>MOFU, faire considérer</t>
        </is>
      </c>
      <c r="L23" s="11" t="inlineStr">
        <is>
          <t>Coulisses : le contrôle qualité quotidien au laboratoire interne</t>
        </is>
      </c>
      <c r="M23" s="11" t="inlineStr">
        <is>
          <t>Chaque jour, nos bonbons passent par le labo avant de partir.</t>
        </is>
      </c>
      <c r="N23" s="11" t="inlineStr">
        <is>
          <t>Depuis 1994, à Koumassi.</t>
        </is>
      </c>
      <c r="O23" s="11" t="inlineStr">
        <is>
          <t>Chaque jour, avant de quitter l'usine de Koumassi, nos bonbons passent par notre laboratoire interne. 🔬
Qualité constante, depuis 1994.
Quelle question aimeriez-vous poser à notre équipe qualité ? 👇</t>
        </is>
      </c>
      <c r="P23" s="11" t="inlineStr">
        <is>
          <t>#Unifood #TOMY #MadeInCI</t>
        </is>
      </c>
      <c r="Q23" s="11" t="inlineStr">
        <is>
          <t>Posez votre question</t>
        </is>
      </c>
      <c r="R23" s="11" t="inlineStr">
        <is>
          <t>visuels/post19_qualite.jpg</t>
        </is>
      </c>
      <c r="S23" s="14">
        <f>HYPERLINK("https://drive.google.com/file/d/1rF8_LFQSx3CdKjm65uH3D-tbJZKWg2sJ/view?usp=drivesdk","Voir le visuel 19")</f>
        <v/>
      </c>
      <c r="T23" s="11" t="inlineStr">
        <is>
          <t>Fatima (texte), photo du labo ⟦à faire valider par la direction⟧</t>
        </is>
      </c>
      <c r="U23" s="16" t="inlineStr">
        <is>
          <t>à valider</t>
        </is>
      </c>
    </row>
    <row r="24">
      <c r="A24" s="11" t="n">
        <v>20</v>
      </c>
      <c r="B24" s="12" t="n">
        <v>46341</v>
      </c>
      <c r="C24" s="11" t="inlineStr">
        <is>
          <t>dimanche 15 nov.</t>
        </is>
      </c>
      <c r="D24" s="11" t="inlineStr">
        <is>
          <t>09:00</t>
        </is>
      </c>
      <c r="E24" s="11" t="inlineStr">
        <is>
          <t>Facebook</t>
        </is>
      </c>
      <c r="F24" s="11" t="inlineStr">
        <is>
          <t>Unifood</t>
        </is>
      </c>
      <c r="G24" s="11" t="inlineStr">
        <is>
          <t>Visuel sobre</t>
        </is>
      </c>
      <c r="H24" s="11" t="inlineStr">
        <is>
          <t>Unifood (groupe)</t>
        </is>
      </c>
      <c r="I24" s="11" t="inlineStr">
        <is>
          <t>Tous</t>
        </is>
      </c>
      <c r="J24" s="11" t="inlineStr">
        <is>
          <t>Temps fort</t>
        </is>
      </c>
      <c r="K24" s="13" t="inlineStr">
        <is>
          <t>TOFU, se faire connaître</t>
        </is>
      </c>
      <c r="L24" s="11" t="inlineStr">
        <is>
          <t>Journée nationale de la Paix (sans produit, sans prix)</t>
        </is>
      </c>
      <c r="M24" s="11" t="inlineStr">
        <is>
          <t>En ce 15 novembre, Unifood souhaite à tous une belle Journée nationale de la Paix.</t>
        </is>
      </c>
      <c r="N24" s="11" t="inlineStr"/>
      <c r="O24" s="11" t="inlineStr">
        <is>
          <t>En ce 15 novembre, toute l'équipe Unifood souhaite à chacun une belle Journée nationale de la Paix. 🕊️🇨🇮</t>
        </is>
      </c>
      <c r="P24" s="11" t="inlineStr">
        <is>
          <t>#JournéeDeLaPaix #CôteDIvoire</t>
        </is>
      </c>
      <c r="Q24" s="11" t="inlineStr">
        <is>
          <t>Aucun</t>
        </is>
      </c>
      <c r="R24" s="11" t="inlineStr">
        <is>
          <t>visuels/post20_paix.jpg</t>
        </is>
      </c>
      <c r="S24" s="14">
        <f>HYPERLINK("https://drive.google.com/file/d/1D2bFT0S1Gfl6M6lWDUyCLtWM90BeLVKf/view?usp=drivesdk","Voir le visuel 20")</f>
        <v/>
      </c>
      <c r="T24" s="11" t="inlineStr">
        <is>
          <t>Prisca Yao (validation de Mariam Koné)</t>
        </is>
      </c>
      <c r="U24" s="11" t="inlineStr">
        <is>
          <t>à valider</t>
        </is>
      </c>
    </row>
    <row r="25">
      <c r="A25" s="11" t="n">
        <v>21</v>
      </c>
      <c r="B25" s="12" t="n">
        <v>46341</v>
      </c>
      <c r="C25" s="11" t="inlineStr">
        <is>
          <t>dimanche 15 nov.</t>
        </is>
      </c>
      <c r="D25" s="11" t="inlineStr">
        <is>
          <t>09:00</t>
        </is>
      </c>
      <c r="E25" s="11" t="inlineStr">
        <is>
          <t>Instagram</t>
        </is>
      </c>
      <c r="F25" s="11" t="inlineStr">
        <is>
          <t>Rio Pop</t>
        </is>
      </c>
      <c r="G25" s="11" t="inlineStr">
        <is>
          <t>Visuel sobre</t>
        </is>
      </c>
      <c r="H25" s="11" t="inlineStr">
        <is>
          <t>Unifood (groupe)</t>
        </is>
      </c>
      <c r="I25" s="11" t="inlineStr">
        <is>
          <t>Tous</t>
        </is>
      </c>
      <c r="J25" s="11" t="inlineStr">
        <is>
          <t>Temps fort</t>
        </is>
      </c>
      <c r="K25" s="13" t="inlineStr">
        <is>
          <t>TOFU, se faire connaître</t>
        </is>
      </c>
      <c r="L25" s="11" t="inlineStr">
        <is>
          <t>Journée nationale de la Paix (même visuel)</t>
        </is>
      </c>
      <c r="M25" s="11" t="inlineStr">
        <is>
          <t>Belle Journée nationale de la Paix 🕊️</t>
        </is>
      </c>
      <c r="N25" s="11" t="inlineStr"/>
      <c r="O25" s="11" t="inlineStr">
        <is>
          <t>Belle Journée nationale de la Paix à toutes et à tous. 🕊️🇨🇮</t>
        </is>
      </c>
      <c r="P25" s="11" t="inlineStr">
        <is>
          <t>#JournéeDeLaPaix #CôteDIvoire #Paix #225</t>
        </is>
      </c>
      <c r="Q25" s="11" t="inlineStr">
        <is>
          <t>Aucun</t>
        </is>
      </c>
      <c r="R25" s="11" t="inlineStr">
        <is>
          <t>visuels/post21_paix.jpg</t>
        </is>
      </c>
      <c r="S25" s="14">
        <f>HYPERLINK("https://drive.google.com/file/d/1lo4RH5QEcrCEAbPC3MCo44U0Ih7yEHB7/view?usp=drivesdk","Voir le visuel 21")</f>
        <v/>
      </c>
      <c r="T25" s="11" t="inlineStr">
        <is>
          <t>Prisca Yao</t>
        </is>
      </c>
      <c r="U25" s="11" t="inlineStr">
        <is>
          <t>à valider</t>
        </is>
      </c>
    </row>
    <row r="26">
      <c r="A26" s="11" t="n">
        <v>22</v>
      </c>
      <c r="B26" s="12" t="n">
        <v>46342</v>
      </c>
      <c r="C26" s="11" t="inlineStr">
        <is>
          <t>lundi 16 nov.</t>
        </is>
      </c>
      <c r="D26" s="11" t="inlineStr">
        <is>
          <t>18:00</t>
        </is>
      </c>
      <c r="E26" s="11" t="inlineStr">
        <is>
          <t>TikTok</t>
        </is>
      </c>
      <c r="F26" s="11" t="inlineStr">
        <is>
          <t>TOMY</t>
        </is>
      </c>
      <c r="G26" s="11" t="inlineStr">
        <is>
          <t>Vidéo 20 s</t>
        </is>
      </c>
      <c r="H26" s="11" t="inlineStr">
        <is>
          <t>Rio Pop</t>
        </is>
      </c>
      <c r="I26" s="11" t="inlineStr">
        <is>
          <t>13 à 17 ans</t>
        </is>
      </c>
      <c r="J26" s="11" t="inlineStr">
        <is>
          <t>Défi Montre ta langue</t>
        </is>
      </c>
      <c r="K26" s="13" t="inlineStr">
        <is>
          <t>TOFU, se faire connaître</t>
        </is>
      </c>
      <c r="L26" s="11" t="inlineStr">
        <is>
          <t>Défi en duo : deux parfums, deux langues</t>
        </is>
      </c>
      <c r="M26" s="11" t="inlineStr">
        <is>
          <t>Deux sucettes, deux couleurs, une seule langue 🤯</t>
        </is>
      </c>
      <c r="N26" s="11" t="inlineStr">
        <is>
          <t>Mélange deux parfums, montre le résultat.</t>
        </is>
      </c>
      <c r="O26" s="11" t="inlineStr">
        <is>
          <t>Deux sucettes, deux couleurs, une seule langue 🤯👅
Tente le mélange et montre le résultat avec #MontreTaLangueRioPop !</t>
        </is>
      </c>
      <c r="P26" s="11" t="inlineStr">
        <is>
          <t>#MontreTaLangueRioPop #RioPop #TOMY #225</t>
        </is>
      </c>
      <c r="Q26" s="11" t="inlineStr">
        <is>
          <t>Fais le défi</t>
        </is>
      </c>
      <c r="R26" s="11" t="inlineStr">
        <is>
          <t>visuels/post22_langue.jpg</t>
        </is>
      </c>
      <c r="S26" s="14">
        <f>HYPERLINK("https://drive.google.com/file/d/11RYKWGuMTqW_3udfgUZChfHZzihBfKUx/view?usp=drivesdk","Voir le visuel 22")</f>
        <v/>
      </c>
      <c r="T26" s="11" t="inlineStr">
        <is>
          <t>Koffi</t>
        </is>
      </c>
      <c r="U26" s="11" t="inlineStr">
        <is>
          <t>à valider</t>
        </is>
      </c>
    </row>
    <row r="27">
      <c r="A27" s="11" t="n">
        <v>23</v>
      </c>
      <c r="B27" s="12" t="n">
        <v>46343</v>
      </c>
      <c r="C27" s="11" t="inlineStr">
        <is>
          <t>mardi 17 nov.</t>
        </is>
      </c>
      <c r="D27" s="11" t="inlineStr">
        <is>
          <t>12:30</t>
        </is>
      </c>
      <c r="E27" s="11" t="inlineStr">
        <is>
          <t>Facebook</t>
        </is>
      </c>
      <c r="F27" s="11" t="inlineStr">
        <is>
          <t>Rio Pop @RioPop225</t>
        </is>
      </c>
      <c r="G27" s="11" t="inlineStr">
        <is>
          <t>Post photo</t>
        </is>
      </c>
      <c r="H27" s="11" t="inlineStr">
        <is>
          <t>Rio Pop</t>
        </is>
      </c>
      <c r="I27" s="11" t="inlineStr">
        <is>
          <t>Parents 25 à 45 ans</t>
        </is>
      </c>
      <c r="J27" s="11" t="inlineStr">
        <is>
          <t>Fêtes et anniversaires</t>
        </is>
      </c>
      <c r="K27" s="15" t="inlineStr">
        <is>
          <t>MOFU, faire considérer</t>
        </is>
      </c>
      <c r="L27" s="11" t="inlineStr">
        <is>
          <t>Lancement du kit anniversaire Rio Pop sur WhatsApp</t>
        </is>
      </c>
      <c r="M27" s="11" t="inlineStr">
        <is>
          <t>Un anniversaire à préparer ? Écrivez-nous sur WhatsApp 🎂</t>
        </is>
      </c>
      <c r="N27" s="11" t="inlineStr">
        <is>
          <t>Le kit fête Rio Pop vous attend sur WhatsApp.</t>
        </is>
      </c>
      <c r="O27" s="11" t="inlineStr">
        <is>
          <t>Un anniversaire à préparer ? 🎂🍭
Écrivez-nous sur WhatsApp : on vous envoie nos idées de déco et de goûter Rio Pop, et on vous dit où trouver le sachet de 48 près de chez vous.
👉 Bouton « Envoyer un message » sur la page.</t>
        </is>
      </c>
      <c r="P27" s="11" t="inlineStr">
        <is>
          <t>#RioPop #Anniversaire #RienNteStop</t>
        </is>
      </c>
      <c r="Q27" s="11" t="inlineStr">
        <is>
          <t>Écrivez-nous sur WhatsApp</t>
        </is>
      </c>
      <c r="R27" s="11" t="inlineStr">
        <is>
          <t>visuels/post23_kit_anniv.jpg</t>
        </is>
      </c>
      <c r="S27" s="14">
        <f>HYPERLINK("https://drive.google.com/file/d/1IRZ77aHhc-4CFru2AGCT3v83K5QoLfoX/view?usp=drivesdk","Voir le visuel 23")</f>
        <v/>
      </c>
      <c r="T27" s="11" t="inlineStr">
        <is>
          <t>Prisca Yao (réponses WhatsApp)</t>
        </is>
      </c>
      <c r="U27" s="11" t="inlineStr">
        <is>
          <t>à valider</t>
        </is>
      </c>
    </row>
    <row r="28">
      <c r="A28" s="11" t="n">
        <v>24</v>
      </c>
      <c r="B28" s="12" t="n">
        <v>46343</v>
      </c>
      <c r="C28" s="11" t="inlineStr">
        <is>
          <t>mardi 17 nov.</t>
        </is>
      </c>
      <c r="D28" s="11" t="inlineStr">
        <is>
          <t>19:00</t>
        </is>
      </c>
      <c r="E28" s="11" t="inlineStr">
        <is>
          <t>Instagram</t>
        </is>
      </c>
      <c r="F28" s="11" t="inlineStr">
        <is>
          <t>Rio Pop</t>
        </is>
      </c>
      <c r="G28" s="11" t="inlineStr">
        <is>
          <t>Carrousel 4 images</t>
        </is>
      </c>
      <c r="H28" s="11" t="inlineStr">
        <is>
          <t>Rio Pop</t>
        </is>
      </c>
      <c r="I28" s="11" t="inlineStr">
        <is>
          <t>Parents 25 à 45 ans</t>
        </is>
      </c>
      <c r="J28" s="11" t="inlineStr">
        <is>
          <t>Fêtes et anniversaires</t>
        </is>
      </c>
      <c r="K28" s="15" t="inlineStr">
        <is>
          <t>MOFU, faire considérer</t>
        </is>
      </c>
      <c r="L28" s="11" t="inlineStr">
        <is>
          <t>Kit anniversaire : 4 idées en images</t>
        </is>
      </c>
      <c r="M28" s="11" t="inlineStr">
        <is>
          <t>4 idées Rio Pop pour un anniversaire réussi 🎂</t>
        </is>
      </c>
      <c r="N28" s="11" t="inlineStr">
        <is>
          <t>L'anniversaire en couleurs, mode d'emploi.</t>
        </is>
      </c>
      <c r="O28" s="11" t="inlineStr">
        <is>
          <t>4 idées Rio Pop pour un anniversaire réussi 🎂
1. Le bouquet de sucettes
2. Le jeu de la langue colorée
3. Les petits sachets surprise
4. La table aux couleurs des parfums
Pour recevoir le kit complet, écrivez-nous sur WhatsApp (lien en bio) 💬</t>
        </is>
      </c>
      <c r="P28" s="11" t="inlineStr">
        <is>
          <t>#RioPop #RienNteStop #TOMY #Anniversaire #FêteEnfant #DécoAnniversaire #Abidjan #225 #Babi #Maman</t>
        </is>
      </c>
      <c r="Q28" s="11" t="inlineStr">
        <is>
          <t>WhatsApp (lien en bio)</t>
        </is>
      </c>
      <c r="R28" s="11" t="inlineStr">
        <is>
          <t>visuels/post24_kit_anniv.jpg</t>
        </is>
      </c>
      <c r="S28" s="14">
        <f>HYPERLINK("https://drive.google.com/file/d/1XqM5cRb6GyfvFleOOEYWUjTjTJ37vrpD/view?usp=drivesdk","Voir le visuel 24")</f>
        <v/>
      </c>
      <c r="T28" s="11" t="inlineStr">
        <is>
          <t>Koffi, Prisca Yao</t>
        </is>
      </c>
      <c r="U28" s="11" t="inlineStr">
        <is>
          <t>à valider</t>
        </is>
      </c>
    </row>
    <row r="29">
      <c r="A29" s="11" t="n">
        <v>25</v>
      </c>
      <c r="B29" s="12" t="n">
        <v>46344</v>
      </c>
      <c r="C29" s="11" t="inlineStr">
        <is>
          <t>mercredi 18 nov.</t>
        </is>
      </c>
      <c r="D29" s="11" t="inlineStr">
        <is>
          <t>18:00</t>
        </is>
      </c>
      <c r="E29" s="11" t="inlineStr">
        <is>
          <t>TikTok</t>
        </is>
      </c>
      <c r="F29" s="11" t="inlineStr">
        <is>
          <t>TOMY</t>
        </is>
      </c>
      <c r="G29" s="11" t="inlineStr">
        <is>
          <t>Sketch 25 s</t>
        </is>
      </c>
      <c r="H29" s="11" t="inlineStr">
        <is>
          <t>Super Mint</t>
        </is>
      </c>
      <c r="I29" s="11" t="inlineStr">
        <is>
          <t>Adultes 20 à 45 ans</t>
        </is>
      </c>
      <c r="J29" s="11" t="inlineStr">
        <is>
          <t>Fraîcheur de la route</t>
        </is>
      </c>
      <c r="K29" s="13" t="inlineStr">
        <is>
          <t>TOFU, se faire connaître</t>
        </is>
      </c>
      <c r="L29" s="11" t="inlineStr">
        <is>
          <t>Sketch « Le taxi compteur » : le chauffeur qui a tout prévu</t>
        </is>
      </c>
      <c r="M29" s="11" t="inlineStr">
        <is>
          <t>Le taxi qui a toujours un Super Mint pour toi 🚕</t>
        </is>
      </c>
      <c r="N29" s="11" t="inlineStr">
        <is>
          <t>Ce chauffeur a tout compris.</t>
        </is>
      </c>
      <c r="O29" s="11" t="inlineStr">
        <is>
          <t>Le chauffeur qui a toujours un Super Mint pour ses clients 🚕❄️
Respect au boss ! Ça glace fort.</t>
        </is>
      </c>
      <c r="P29" s="11" t="inlineStr">
        <is>
          <t>#SuperMint #TOMY #Taxi #225</t>
        </is>
      </c>
      <c r="Q29" s="11" t="inlineStr">
        <is>
          <t>Tague un chauffeur</t>
        </is>
      </c>
      <c r="R29" s="11" t="inlineStr">
        <is>
          <t>visuels/post25_supermint_video.jpg</t>
        </is>
      </c>
      <c r="S29" s="14">
        <f>HYPERLINK("https://drive.google.com/file/d/1dkX2TBuHfDffDnHWvB6oX2sikGcIWnhf/view?usp=drivesdk","Voir le visuel 25")</f>
        <v/>
      </c>
      <c r="T29" s="11" t="inlineStr">
        <is>
          <t>Koffi, Fatima</t>
        </is>
      </c>
      <c r="U29" s="11" t="inlineStr">
        <is>
          <t>à valider</t>
        </is>
      </c>
    </row>
    <row r="30">
      <c r="A30" s="11" t="n">
        <v>26</v>
      </c>
      <c r="B30" s="12" t="n">
        <v>46345</v>
      </c>
      <c r="C30" s="11" t="inlineStr">
        <is>
          <t>jeudi 19 nov.</t>
        </is>
      </c>
      <c r="D30" s="11" t="inlineStr">
        <is>
          <t>12:30</t>
        </is>
      </c>
      <c r="E30" s="11" t="inlineStr">
        <is>
          <t>Facebook</t>
        </is>
      </c>
      <c r="F30" s="11" t="inlineStr">
        <is>
          <t>Rio Pop @RioPop225</t>
        </is>
      </c>
      <c r="G30" s="11" t="inlineStr">
        <is>
          <t>Post photo</t>
        </is>
      </c>
      <c r="H30" s="11" t="inlineStr">
        <is>
          <t>Rio Pop</t>
        </is>
      </c>
      <c r="I30" s="11" t="inlineStr">
        <is>
          <t>Parents 25 à 45 ans</t>
        </is>
      </c>
      <c r="J30" s="11" t="inlineStr">
        <is>
          <t>Où trouver Rio Pop</t>
        </is>
      </c>
      <c r="K30" s="17" t="inlineStr">
        <is>
          <t>BOFU, faire acheter</t>
        </is>
      </c>
      <c r="L30" s="11" t="inlineStr">
        <is>
          <t>Rio Pop chez votre boutiquier (présentoir de comptoir)</t>
        </is>
      </c>
      <c r="M30" s="11" t="inlineStr">
        <is>
          <t>Vous voyez ce présentoir ? Rio Pop est là 🍭</t>
        </is>
      </c>
      <c r="N30" s="11" t="inlineStr">
        <is>
          <t>Repérez le présentoir rouge chez votre boutiquier.</t>
        </is>
      </c>
      <c r="O30" s="11" t="inlineStr">
        <is>
          <t>Vous voyez ce présentoir chez votre boutiquier ? Rio Pop est là ! 🍭
Sachets de 48 ou sucettes à l'unité, demandez vos parfums préférés.
Votre boutiquier n'en a pas encore ? Dites-nous votre quartier en commentaire 📍</t>
        </is>
      </c>
      <c r="P30" s="11" t="inlineStr">
        <is>
          <t>#RioPop #RienNteStop</t>
        </is>
      </c>
      <c r="Q30" s="11" t="inlineStr">
        <is>
          <t>Demandez à votre boutiquier</t>
        </is>
      </c>
      <c r="R30" s="11" t="inlineStr">
        <is>
          <t>visuels/post26_presentoir.jpg</t>
        </is>
      </c>
      <c r="S30" s="14">
        <f>HYPERLINK("https://drive.google.com/file/d/1L7nxVd5SFVBY--6BLbSeaPzKdhjTWWPa/view?usp=drivesdk","Voir le visuel 26")</f>
        <v/>
      </c>
      <c r="T30" s="11" t="inlineStr">
        <is>
          <t>Prisca Yao, équipe d'Hervé Gnagne (photos en boutique)</t>
        </is>
      </c>
      <c r="U30" s="11" t="inlineStr">
        <is>
          <t>à valider</t>
        </is>
      </c>
    </row>
    <row r="31">
      <c r="A31" s="11" t="n">
        <v>27</v>
      </c>
      <c r="B31" s="12" t="n">
        <v>46346</v>
      </c>
      <c r="C31" s="11" t="inlineStr">
        <is>
          <t>vendredi 20 nov.</t>
        </is>
      </c>
      <c r="D31" s="11" t="inlineStr">
        <is>
          <t>18:00</t>
        </is>
      </c>
      <c r="E31" s="11" t="inlineStr">
        <is>
          <t>TikTok</t>
        </is>
      </c>
      <c r="F31" s="11" t="inlineStr">
        <is>
          <t>TOMY</t>
        </is>
      </c>
      <c r="G31" s="11" t="inlineStr">
        <is>
          <t>Vidéo 20 s</t>
        </is>
      </c>
      <c r="H31" s="11" t="inlineStr">
        <is>
          <t>Rio Pop</t>
        </is>
      </c>
      <c r="I31" s="11" t="inlineStr">
        <is>
          <t>13 à 17 ans</t>
        </is>
      </c>
      <c r="J31" s="11" t="inlineStr">
        <is>
          <t>Couleurs et fun</t>
        </is>
      </c>
      <c r="K31" s="13" t="inlineStr">
        <is>
          <t>TOFU, se faire connaître</t>
        </is>
      </c>
      <c r="L31" s="11" t="inlineStr">
        <is>
          <t>« Devine le parfum les yeux bandés » (équipe Unifood)</t>
        </is>
      </c>
      <c r="M31" s="11" t="inlineStr">
        <is>
          <t>Yeux bandés : il devine le parfum ou pas ? 🙈</t>
        </is>
      </c>
      <c r="N31" s="11" t="inlineStr">
        <is>
          <t>Notre collègue a perdu son pari...</t>
        </is>
      </c>
      <c r="O31" s="11" t="inlineStr">
        <is>
          <t>Yeux bandés, une sucette Rio Pop : il devine le parfum ou pas ? 🙈🍭
Reste jusqu'à la fin 😂</t>
        </is>
      </c>
      <c r="P31" s="11" t="inlineStr">
        <is>
          <t>#RioPop #Défi #TOMY #225</t>
        </is>
      </c>
      <c r="Q31" s="11" t="inlineStr">
        <is>
          <t>Devine avant lui</t>
        </is>
      </c>
      <c r="R31" s="11" t="inlineStr">
        <is>
          <t>visuels/post27_parfums.jpg</t>
        </is>
      </c>
      <c r="S31" s="14">
        <f>HYPERLINK("https://drive.google.com/file/d/1NyXYpXmKG2hgOffcoiD_bW2DF5cmKSX0/view?usp=drivesdk","Voir le visuel 27")</f>
        <v/>
      </c>
      <c r="T31" s="11" t="inlineStr">
        <is>
          <t>Koffi (avec l'équipe Unifood, adultes)</t>
        </is>
      </c>
      <c r="U31" s="11" t="inlineStr">
        <is>
          <t>à valider</t>
        </is>
      </c>
    </row>
    <row r="32">
      <c r="A32" s="11" t="n">
        <v>28</v>
      </c>
      <c r="B32" s="12" t="n">
        <v>46346</v>
      </c>
      <c r="C32" s="11" t="inlineStr">
        <is>
          <t>vendredi 20 nov.</t>
        </is>
      </c>
      <c r="D32" s="11" t="inlineStr">
        <is>
          <t>19:00</t>
        </is>
      </c>
      <c r="E32" s="11" t="inlineStr">
        <is>
          <t>Instagram</t>
        </is>
      </c>
      <c r="F32" s="11" t="inlineStr">
        <is>
          <t>Rio Pop</t>
        </is>
      </c>
      <c r="G32" s="11" t="inlineStr">
        <is>
          <t>Reel (reprise TikTok)</t>
        </is>
      </c>
      <c r="H32" s="11" t="inlineStr">
        <is>
          <t>Rio Pop</t>
        </is>
      </c>
      <c r="I32" s="11" t="inlineStr">
        <is>
          <t>Ados 13 à 17 ans</t>
        </is>
      </c>
      <c r="J32" s="11" t="inlineStr">
        <is>
          <t>Couleurs et fun</t>
        </is>
      </c>
      <c r="K32" s="13" t="inlineStr">
        <is>
          <t>TOFU, se faire connaître</t>
        </is>
      </c>
      <c r="L32" s="11" t="inlineStr">
        <is>
          <t>Reprise « Devine le parfum »</t>
        </is>
      </c>
      <c r="M32" s="11" t="inlineStr">
        <is>
          <t>Il devine ou pas ? 🙈</t>
        </is>
      </c>
      <c r="N32" s="11" t="inlineStr">
        <is>
          <t>Les yeux bandés, le goût ne ment pas.</t>
        </is>
      </c>
      <c r="O32" s="11" t="inlineStr">
        <is>
          <t>Il devine ou pas ? 🙈🍭
Regarde jusqu'au bout et dis-nous ton score en commentaire.</t>
        </is>
      </c>
      <c r="P32" s="11" t="inlineStr">
        <is>
          <t>#RioPop #RienNteStop #TOMY #Défi #Abidjan #225 #Babi #Sucette</t>
        </is>
      </c>
      <c r="Q32" s="11" t="inlineStr">
        <is>
          <t>Commente ton score</t>
        </is>
      </c>
      <c r="R32" s="11" t="inlineStr">
        <is>
          <t>visuels/post28_parfums.jpg</t>
        </is>
      </c>
      <c r="S32" s="14">
        <f>HYPERLINK("https://drive.google.com/file/d/1ZEX2AehXnhmJIO3P7CfOOZmV562HUETo/view?usp=drivesdk","Voir le visuel 28")</f>
        <v/>
      </c>
      <c r="T32" s="11" t="inlineStr">
        <is>
          <t>Prisca Yao</t>
        </is>
      </c>
      <c r="U32" s="11" t="inlineStr">
        <is>
          <t>à valider</t>
        </is>
      </c>
    </row>
    <row r="33">
      <c r="A33" s="11" t="n">
        <v>29</v>
      </c>
      <c r="B33" s="12" t="n">
        <v>46347</v>
      </c>
      <c r="C33" s="11" t="inlineStr">
        <is>
          <t>samedi 21 nov.</t>
        </is>
      </c>
      <c r="D33" s="11" t="inlineStr">
        <is>
          <t>12:30</t>
        </is>
      </c>
      <c r="E33" s="11" t="inlineStr">
        <is>
          <t>Facebook</t>
        </is>
      </c>
      <c r="F33" s="11" t="inlineStr">
        <is>
          <t>Unifood</t>
        </is>
      </c>
      <c r="G33" s="11" t="inlineStr">
        <is>
          <t>Post photo</t>
        </is>
      </c>
      <c r="H33" s="11" t="inlineStr">
        <is>
          <t>Menthes TOMY</t>
        </is>
      </c>
      <c r="I33" s="11" t="inlineStr">
        <is>
          <t>Boutiquiers et demi-grossistes</t>
        </is>
      </c>
      <c r="J33" s="11" t="inlineStr">
        <is>
          <t>Où trouver Rio Pop</t>
        </is>
      </c>
      <c r="K33" s="17" t="inlineStr">
        <is>
          <t>BOFU, faire acheter</t>
        </is>
      </c>
      <c r="L33" s="11" t="inlineStr">
        <is>
          <t>Boutiquiers : le catalogue WhatsApp TOMY est ouvert</t>
        </is>
      </c>
      <c r="M33" s="11" t="inlineStr">
        <is>
          <t>Boutiquiers : commandez TOMY en 3 messages sur WhatsApp 📲</t>
        </is>
      </c>
      <c r="N33" s="11" t="inlineStr">
        <is>
          <t>Votre stock de fêtes, sans vous déplacer.</t>
        </is>
      </c>
      <c r="O33" s="11" t="inlineStr">
        <is>
          <t>Boutiquiers, demi-grossistes : le catalogue TOMY est sur WhatsApp ! 📲
Rio Pop, Super Mint, Tempo, Super Gnamakou : choisissez, envoyez, notre équipe commerciale vous rappelle.
👉 Écrivez « CATALOGUE » au ⟦numéro WhatsApp commercial à confirmer⟧</t>
        </is>
      </c>
      <c r="P33" s="11" t="inlineStr">
        <is>
          <t>#TOMY #Unifood</t>
        </is>
      </c>
      <c r="Q33" s="11" t="inlineStr">
        <is>
          <t>Écrivez « CATALOGUE »</t>
        </is>
      </c>
      <c r="R33" s="11" t="inlineStr">
        <is>
          <t>visuels/post29_catalogue.jpg</t>
        </is>
      </c>
      <c r="S33" s="14">
        <f>HYPERLINK("https://drive.google.com/file/d/1edjylv3tHzp83pnAiyAPokxc0cS-x7Q1/view?usp=drivesdk","Voir le visuel 29")</f>
        <v/>
      </c>
      <c r="T33" s="11" t="inlineStr">
        <is>
          <t>Équipe d'Hervé Gnagne (réponses), Prisca Yao</t>
        </is>
      </c>
      <c r="U33" s="16" t="inlineStr">
        <is>
          <t>à compléter le jour même</t>
        </is>
      </c>
    </row>
    <row r="34">
      <c r="A34" s="11" t="n">
        <v>30</v>
      </c>
      <c r="B34" s="12" t="n">
        <v>46348</v>
      </c>
      <c r="C34" s="11" t="inlineStr">
        <is>
          <t>dimanche 22 nov.</t>
        </is>
      </c>
      <c r="D34" s="11" t="inlineStr">
        <is>
          <t>16:00</t>
        </is>
      </c>
      <c r="E34" s="11" t="inlineStr">
        <is>
          <t>Facebook</t>
        </is>
      </c>
      <c r="F34" s="11" t="inlineStr">
        <is>
          <t>Rio Pop @RioPop225</t>
        </is>
      </c>
      <c r="G34" s="11" t="inlineStr">
        <is>
          <t>Post photo</t>
        </is>
      </c>
      <c r="H34" s="11" t="inlineStr">
        <is>
          <t>Rio Pop</t>
        </is>
      </c>
      <c r="I34" s="11" t="inlineStr">
        <is>
          <t>Parents 25 à 45 ans</t>
        </is>
      </c>
      <c r="J34" s="11" t="inlineStr">
        <is>
          <t>Fêtes et anniversaires</t>
        </is>
      </c>
      <c r="K34" s="15" t="inlineStr">
        <is>
          <t>MOFU, faire considérer</t>
        </is>
      </c>
      <c r="L34" s="11" t="inlineStr">
        <is>
          <t>Idées goûter n°2 : le goûter du dimanche en famille</t>
        </is>
      </c>
      <c r="M34" s="11" t="inlineStr">
        <is>
          <t>Dimanche, tout le monde à table, même les sucettes 🍭</t>
        </is>
      </c>
      <c r="N34" s="11" t="inlineStr">
        <is>
          <t>Le dessert du dimanche version Rio Pop.</t>
        </is>
      </c>
      <c r="O34" s="11" t="inlineStr">
        <is>
          <t>Dimanche, tout le monde à table, même les sucettes ! 🍭
Fruits coupés, un verre de bissap et une Rio Pop pour finir : le goûter du dimanche est prêt.
Votre goûter du dimanche, c'est quoi ? 👇</t>
        </is>
      </c>
      <c r="P34" s="11" t="inlineStr">
        <is>
          <t>#RioPop #Goûter #Famille</t>
        </is>
      </c>
      <c r="Q34" s="11" t="inlineStr">
        <is>
          <t>Racontez en commentaire</t>
        </is>
      </c>
      <c r="R34" s="11" t="inlineStr">
        <is>
          <t>visuels/post30_gouter.jpg</t>
        </is>
      </c>
      <c r="S34" s="14">
        <f>HYPERLINK("https://drive.google.com/file/d/1J5sPJFJSTSv-tg2NIDW8nM1x7io4Xamo/view?usp=drivesdk","Voir le visuel 30")</f>
        <v/>
      </c>
      <c r="T34" s="11" t="inlineStr">
        <is>
          <t>Koffi, Prisca Yao</t>
        </is>
      </c>
      <c r="U34" s="11" t="inlineStr">
        <is>
          <t>à valider</t>
        </is>
      </c>
    </row>
    <row r="35">
      <c r="A35" s="11" t="n">
        <v>31</v>
      </c>
      <c r="B35" s="12" t="n">
        <v>46349</v>
      </c>
      <c r="C35" s="11" t="inlineStr">
        <is>
          <t>lundi 23 nov.</t>
        </is>
      </c>
      <c r="D35" s="11" t="inlineStr">
        <is>
          <t>18:00</t>
        </is>
      </c>
      <c r="E35" s="11" t="inlineStr">
        <is>
          <t>TikTok</t>
        </is>
      </c>
      <c r="F35" s="11" t="inlineStr">
        <is>
          <t>TOMY</t>
        </is>
      </c>
      <c r="G35" s="11" t="inlineStr">
        <is>
          <t>Vidéo 20 s</t>
        </is>
      </c>
      <c r="H35" s="11" t="inlineStr">
        <is>
          <t>Rio Pop</t>
        </is>
      </c>
      <c r="I35" s="11" t="inlineStr">
        <is>
          <t>13 à 17 ans</t>
        </is>
      </c>
      <c r="J35" s="11" t="inlineStr">
        <is>
          <t>Défi Montre ta langue</t>
        </is>
      </c>
      <c r="K35" s="13" t="inlineStr">
        <is>
          <t>TOFU, se faire connaître</t>
        </is>
      </c>
      <c r="L35" s="11" t="inlineStr">
        <is>
          <t>Le défi en version fêtes : langue aux couleurs de Noël</t>
        </is>
      </c>
      <c r="M35" s="11" t="inlineStr">
        <is>
          <t>Rouge et vert pour Noël ? Ta langue est prête 🎄</t>
        </is>
      </c>
      <c r="N35" s="11" t="inlineStr">
        <is>
          <t>Le défi passe en mode fêtes !</t>
        </is>
      </c>
      <c r="O35" s="11" t="inlineStr">
        <is>
          <t>Rouge et vert pour Noël ? Ta langue est prête 🎄👅
#MontreTaLangueRioPop passe en mode fêtes !</t>
        </is>
      </c>
      <c r="P35" s="11" t="inlineStr">
        <is>
          <t>#MontreTaLangueRioPop #RioPop #Noël #225</t>
        </is>
      </c>
      <c r="Q35" s="11" t="inlineStr">
        <is>
          <t>Fais le défi</t>
        </is>
      </c>
      <c r="R35" s="11" t="inlineStr">
        <is>
          <t>visuels/post31_langue_noel.jpg</t>
        </is>
      </c>
      <c r="S35" s="14">
        <f>HYPERLINK("https://drive.google.com/file/d/11VqlC89qb-5f1TBnWB7BcsXh-UGr0n63/view?usp=drivesdk","Voir le visuel 31")</f>
        <v/>
      </c>
      <c r="T35" s="11" t="inlineStr">
        <is>
          <t>Koffi</t>
        </is>
      </c>
      <c r="U35" s="11" t="inlineStr">
        <is>
          <t>à valider</t>
        </is>
      </c>
    </row>
    <row r="36">
      <c r="A36" s="11" t="n">
        <v>32</v>
      </c>
      <c r="B36" s="12" t="n">
        <v>46350</v>
      </c>
      <c r="C36" s="11" t="inlineStr">
        <is>
          <t>mardi 24 nov.</t>
        </is>
      </c>
      <c r="D36" s="11" t="inlineStr">
        <is>
          <t>12:30</t>
        </is>
      </c>
      <c r="E36" s="11" t="inlineStr">
        <is>
          <t>Facebook</t>
        </is>
      </c>
      <c r="F36" s="11" t="inlineStr">
        <is>
          <t>Rio Pop @RioPop225</t>
        </is>
      </c>
      <c r="G36" s="11" t="inlineStr">
        <is>
          <t>Carrousel 3 images</t>
        </is>
      </c>
      <c r="H36" s="11" t="inlineStr">
        <is>
          <t>Rio Pop</t>
        </is>
      </c>
      <c r="I36" s="11" t="inlineStr">
        <is>
          <t>Parents 25 à 45 ans</t>
        </is>
      </c>
      <c r="J36" s="11" t="inlineStr">
        <is>
          <t>Fêtes et anniversaires</t>
        </is>
      </c>
      <c r="K36" s="15" t="inlineStr">
        <is>
          <t>MOFU, faire considérer</t>
        </is>
      </c>
      <c r="L36" s="11" t="inlineStr">
        <is>
          <t>Déco de fête n°2 : le sapin de sucettes</t>
        </is>
      </c>
      <c r="M36" s="11" t="inlineStr">
        <is>
          <t>Cette année, le sapin se mange 🎄🍭</t>
        </is>
      </c>
      <c r="N36" s="11" t="inlineStr">
        <is>
          <t>Le sapin qui plaît vraiment aux enfants.</t>
        </is>
      </c>
      <c r="O36" s="11" t="inlineStr">
        <is>
          <t>Cette année, le sapin se mange ! 🎄🍭
Un cône en carton, du papier vert, et vos sucettes Rio Pop piquées tout autour.
Étapes en images 👉
Pour le kit fête complet : écrivez-nous sur WhatsApp 💬</t>
        </is>
      </c>
      <c r="P36" s="11" t="inlineStr">
        <is>
          <t>#RioPop #Noël #DécoDeFête</t>
        </is>
      </c>
      <c r="Q36" s="11" t="inlineStr">
        <is>
          <t>Écrivez-nous sur WhatsApp</t>
        </is>
      </c>
      <c r="R36" s="11" t="inlineStr">
        <is>
          <t>visuels/post32_sapin.jpg</t>
        </is>
      </c>
      <c r="S36" s="14">
        <f>HYPERLINK("https://drive.google.com/file/d/1aIn3AK4RW_CSF04honXQJwjaYx4di5x-/view?usp=drivesdk","Voir le visuel 32")</f>
        <v/>
      </c>
      <c r="T36" s="11" t="inlineStr">
        <is>
          <t>Koffi (photos), Prisca Yao</t>
        </is>
      </c>
      <c r="U36" s="11" t="inlineStr">
        <is>
          <t>à valider</t>
        </is>
      </c>
    </row>
    <row r="37">
      <c r="A37" s="11" t="n">
        <v>33</v>
      </c>
      <c r="B37" s="12" t="n">
        <v>46350</v>
      </c>
      <c r="C37" s="11" t="inlineStr">
        <is>
          <t>mardi 24 nov.</t>
        </is>
      </c>
      <c r="D37" s="11" t="inlineStr">
        <is>
          <t>19:00</t>
        </is>
      </c>
      <c r="E37" s="11" t="inlineStr">
        <is>
          <t>Instagram</t>
        </is>
      </c>
      <c r="F37" s="11" t="inlineStr">
        <is>
          <t>Rio Pop</t>
        </is>
      </c>
      <c r="G37" s="11" t="inlineStr">
        <is>
          <t>Reel tuto 30 s</t>
        </is>
      </c>
      <c r="H37" s="11" t="inlineStr">
        <is>
          <t>Rio Pop</t>
        </is>
      </c>
      <c r="I37" s="11" t="inlineStr">
        <is>
          <t>Parents 25 à 45 ans</t>
        </is>
      </c>
      <c r="J37" s="11" t="inlineStr">
        <is>
          <t>Fêtes et anniversaires</t>
        </is>
      </c>
      <c r="K37" s="15" t="inlineStr">
        <is>
          <t>MOFU, faire considérer</t>
        </is>
      </c>
      <c r="L37" s="11" t="inlineStr">
        <is>
          <t>Tuto du sapin de sucettes</t>
        </is>
      </c>
      <c r="M37" s="11" t="inlineStr">
        <is>
          <t>Le sapin de sucettes en 30 secondes 🎄</t>
        </is>
      </c>
      <c r="N37" s="11" t="inlineStr">
        <is>
          <t>DIY de Noël, version Rio Pop.</t>
        </is>
      </c>
      <c r="O37" s="11" t="inlineStr">
        <is>
          <t>Le sapin de sucettes en 30 secondes 🎄🍭
📌 Enregistre pour le faire avec les enfants ce week-end !</t>
        </is>
      </c>
      <c r="P37" s="11" t="inlineStr">
        <is>
          <t>#RioPop #RienNteStop #TOMY #Noël #DIY #DécoNoël #Abidjan #225 #Babi #Maman</t>
        </is>
      </c>
      <c r="Q37" s="11" t="inlineStr">
        <is>
          <t>Enregistrez</t>
        </is>
      </c>
      <c r="R37" s="11" t="inlineStr">
        <is>
          <t>visuels/post33_sapin.jpg</t>
        </is>
      </c>
      <c r="S37" s="14">
        <f>HYPERLINK("https://drive.google.com/file/d/1p3PXqhtlAqDEzXR0ubaNdSUIKrKwpB3k/view?usp=drivesdk","Voir le visuel 33")</f>
        <v/>
      </c>
      <c r="T37" s="11" t="inlineStr">
        <is>
          <t>Koffi</t>
        </is>
      </c>
      <c r="U37" s="11" t="inlineStr">
        <is>
          <t>à valider</t>
        </is>
      </c>
    </row>
    <row r="38">
      <c r="A38" s="11" t="n">
        <v>34</v>
      </c>
      <c r="B38" s="12" t="n">
        <v>46351</v>
      </c>
      <c r="C38" s="11" t="inlineStr">
        <is>
          <t>mercredi 25 nov.</t>
        </is>
      </c>
      <c r="D38" s="11" t="inlineStr">
        <is>
          <t>18:00</t>
        </is>
      </c>
      <c r="E38" s="11" t="inlineStr">
        <is>
          <t>TikTok</t>
        </is>
      </c>
      <c r="F38" s="11" t="inlineStr">
        <is>
          <t>TOMY</t>
        </is>
      </c>
      <c r="G38" s="11" t="inlineStr">
        <is>
          <t>Sketch 25 s</t>
        </is>
      </c>
      <c r="H38" s="11" t="inlineStr">
        <is>
          <t>Super Gnamakou</t>
        </is>
      </c>
      <c r="I38" s="11" t="inlineStr">
        <is>
          <t>Adultes 20 à 45 ans</t>
        </is>
      </c>
      <c r="J38" s="11" t="inlineStr">
        <is>
          <t>Fraîcheur de la route</t>
        </is>
      </c>
      <c r="K38" s="13" t="inlineStr">
        <is>
          <t>TOFU, se faire connaître</t>
        </is>
      </c>
      <c r="L38" s="11" t="inlineStr">
        <is>
          <t>Sketch « Le froid de l'harmattan arrive » : Gnamakou qui réchauffe</t>
        </is>
      </c>
      <c r="M38" s="11" t="inlineStr">
        <is>
          <t>L'harmattan arrive, le Gnamakou aussi 🔥</t>
        </is>
      </c>
      <c r="N38" s="11" t="inlineStr">
        <is>
          <t>Il fait frais le matin ? On a ce qu'il faut.</t>
        </is>
      </c>
      <c r="O38" s="11" t="inlineStr">
        <is>
          <t>Les matins deviennent frais ? Super Gnamakou réchauffe 🔥
Ça chauffe grave !</t>
        </is>
      </c>
      <c r="P38" s="11" t="inlineStr">
        <is>
          <t>#SuperGnamakou #TOMY #225</t>
        </is>
      </c>
      <c r="Q38" s="11" t="inlineStr">
        <is>
          <t>Dis « 🔥 » en commentaire</t>
        </is>
      </c>
      <c r="R38" s="11" t="inlineStr">
        <is>
          <t>visuels/post34_gnamakou_video.jpg</t>
        </is>
      </c>
      <c r="S38" s="14">
        <f>HYPERLINK("https://drive.google.com/file/d/15ghRntrGIpwnVvP35WJRN71V2jolNKFk/view?usp=drivesdk","Voir le visuel 34")</f>
        <v/>
      </c>
      <c r="T38" s="11" t="inlineStr">
        <is>
          <t>Koffi, Fatima</t>
        </is>
      </c>
      <c r="U38" s="11" t="inlineStr">
        <is>
          <t>à valider</t>
        </is>
      </c>
    </row>
    <row r="39">
      <c r="A39" s="11" t="n">
        <v>35</v>
      </c>
      <c r="B39" s="12" t="n">
        <v>46352</v>
      </c>
      <c r="C39" s="11" t="inlineStr">
        <is>
          <t>jeudi 26 nov.</t>
        </is>
      </c>
      <c r="D39" s="11" t="inlineStr">
        <is>
          <t>12:30</t>
        </is>
      </c>
      <c r="E39" s="11" t="inlineStr">
        <is>
          <t>Facebook</t>
        </is>
      </c>
      <c r="F39" s="11" t="inlineStr">
        <is>
          <t>Rio Pop @RioPop225</t>
        </is>
      </c>
      <c r="G39" s="11" t="inlineStr">
        <is>
          <t>Post photo</t>
        </is>
      </c>
      <c r="H39" s="11" t="inlineStr">
        <is>
          <t>Rio Pop</t>
        </is>
      </c>
      <c r="I39" s="11" t="inlineStr">
        <is>
          <t>Parents 25 à 45 ans</t>
        </is>
      </c>
      <c r="J39" s="11" t="inlineStr">
        <is>
          <t>Où trouver Rio Pop</t>
        </is>
      </c>
      <c r="K39" s="17" t="inlineStr">
        <is>
          <t>BOFU, faire acheter</t>
        </is>
      </c>
      <c r="L39" s="11" t="inlineStr">
        <is>
          <t>Le sachet de 48 pour les fêtes : à prévoir avant décembre</t>
        </is>
      </c>
      <c r="M39" s="11" t="inlineStr">
        <is>
          <t>Les fêtes approchent : vous avez prévu votre sachet de 48 ? 🎉</t>
        </is>
      </c>
      <c r="N39" s="11" t="inlineStr">
        <is>
          <t>48 sucettes, toute la famille servie.</t>
        </is>
      </c>
      <c r="O39" s="11" t="inlineStr">
        <is>
          <t>Les fêtes approchent : vous avez prévu votre sachet de 48 ? 🎉🍭
De quoi servir tous les cousins au réveillon.
Disponible chez votre boutiquier : demandez Rio Pop !</t>
        </is>
      </c>
      <c r="P39" s="11" t="inlineStr">
        <is>
          <t>#RioPop #RienNteStop #Fêtes2026</t>
        </is>
      </c>
      <c r="Q39" s="11" t="inlineStr">
        <is>
          <t>Demandez à votre boutiquier</t>
        </is>
      </c>
      <c r="R39" s="11" t="inlineStr">
        <is>
          <t>visuels/post35_sachet48_jaune.jpg</t>
        </is>
      </c>
      <c r="S39" s="14">
        <f>HYPERLINK("https://drive.google.com/file/d/1jvk0x7UYvKk6hd4gc9JAvboN1xz1MECp/view?usp=drivesdk","Voir le visuel 35")</f>
        <v/>
      </c>
      <c r="T39" s="11" t="inlineStr">
        <is>
          <t>Prisca Yao</t>
        </is>
      </c>
      <c r="U39" s="11" t="inlineStr">
        <is>
          <t>à valider</t>
        </is>
      </c>
    </row>
    <row r="40">
      <c r="A40" s="11" t="n">
        <v>36</v>
      </c>
      <c r="B40" s="12" t="n">
        <v>46353</v>
      </c>
      <c r="C40" s="11" t="inlineStr">
        <is>
          <t>vendredi 27 nov.</t>
        </is>
      </c>
      <c r="D40" s="11" t="inlineStr">
        <is>
          <t>18:00</t>
        </is>
      </c>
      <c r="E40" s="11" t="inlineStr">
        <is>
          <t>TikTok</t>
        </is>
      </c>
      <c r="F40" s="11" t="inlineStr">
        <is>
          <t>TOMY</t>
        </is>
      </c>
      <c r="G40" s="11" t="inlineStr">
        <is>
          <t>Vidéo 15 s</t>
        </is>
      </c>
      <c r="H40" s="11" t="inlineStr">
        <is>
          <t>Rio Pop</t>
        </is>
      </c>
      <c r="I40" s="11" t="inlineStr">
        <is>
          <t>13 à 17 ans</t>
        </is>
      </c>
      <c r="J40" s="11" t="inlineStr">
        <is>
          <t>Couleurs et fun</t>
        </is>
      </c>
      <c r="K40" s="13" t="inlineStr">
        <is>
          <t>TOFU, se faire connaître</t>
        </is>
      </c>
      <c r="L40" s="11" t="inlineStr">
        <is>
          <t>Tendance du moment adaptée à Rio Pop ⟦son et format à choisir le jour même, idée à vérifier⟧</t>
        </is>
      </c>
      <c r="M40" s="11" t="inlineStr">
        <is>
          <t>⟦accroche selon la tendance retenue⟧</t>
        </is>
      </c>
      <c r="N40" s="11" t="inlineStr"/>
      <c r="O40" s="11" t="inlineStr">
        <is>
          <t>⟦légende écrite le jour même, selon la tendance TikTok vérifiée (lien et date)⟧</t>
        </is>
      </c>
      <c r="P40" s="11" t="inlineStr">
        <is>
          <t>#RioPop #TOMY #225</t>
        </is>
      </c>
      <c r="Q40" s="11" t="inlineStr">
        <is>
          <t>Selon le format</t>
        </is>
      </c>
      <c r="R40" s="11" t="inlineStr">
        <is>
          <t>visuels/post36_famille.jpg</t>
        </is>
      </c>
      <c r="S40" s="14">
        <f>HYPERLINK("https://drive.google.com/file/d/1Bgk8X9OJfAy29NTB6tTsdTrDKFxvhQjy/view?usp=drivesdk","Voir le visuel 36")</f>
        <v/>
      </c>
      <c r="T40" s="11" t="inlineStr">
        <is>
          <t>Koffi, Fatima (veille la veille)</t>
        </is>
      </c>
      <c r="U40" s="16" t="inlineStr">
        <is>
          <t>à compléter le jour même</t>
        </is>
      </c>
    </row>
    <row r="41">
      <c r="A41" s="11" t="n">
        <v>37</v>
      </c>
      <c r="B41" s="12" t="n">
        <v>46353</v>
      </c>
      <c r="C41" s="11" t="inlineStr">
        <is>
          <t>vendredi 27 nov.</t>
        </is>
      </c>
      <c r="D41" s="11" t="inlineStr">
        <is>
          <t>19:00</t>
        </is>
      </c>
      <c r="E41" s="11" t="inlineStr">
        <is>
          <t>Instagram</t>
        </is>
      </c>
      <c r="F41" s="11" t="inlineStr">
        <is>
          <t>Rio Pop</t>
        </is>
      </c>
      <c r="G41" s="11" t="inlineStr">
        <is>
          <t>Reel (reprise TikTok)</t>
        </is>
      </c>
      <c r="H41" s="11" t="inlineStr">
        <is>
          <t>Rio Pop</t>
        </is>
      </c>
      <c r="I41" s="11" t="inlineStr">
        <is>
          <t>Ados 13 à 17 ans</t>
        </is>
      </c>
      <c r="J41" s="11" t="inlineStr">
        <is>
          <t>Défi Montre ta langue</t>
        </is>
      </c>
      <c r="K41" s="13" t="inlineStr">
        <is>
          <t>TOFU, se faire connaître</t>
        </is>
      </c>
      <c r="L41" s="11" t="inlineStr">
        <is>
          <t>Reprise du défi version fêtes</t>
        </is>
      </c>
      <c r="M41" s="11" t="inlineStr">
        <is>
          <t>Ta langue de Noël, c'est quelle couleur ? 🎄</t>
        </is>
      </c>
      <c r="N41" s="11" t="inlineStr">
        <is>
          <t>Le défi passe en mode fêtes.</t>
        </is>
      </c>
      <c r="O41" s="11" t="inlineStr">
        <is>
          <t>Ta langue de Noël, c'est quelle couleur ? 🎄👅
Montre-la en story avec #MontreTaLangueRioPop !</t>
        </is>
      </c>
      <c r="P41" s="11" t="inlineStr">
        <is>
          <t>#MontreTaLangueRioPop #RioPop #RienNteStop #TOMY #Noël #Abidjan #225 #Babi</t>
        </is>
      </c>
      <c r="Q41" s="11" t="inlineStr">
        <is>
          <t>Fais le défi en story</t>
        </is>
      </c>
      <c r="R41" s="11" t="inlineStr">
        <is>
          <t>visuels/post37_langue_noel.jpg</t>
        </is>
      </c>
      <c r="S41" s="14">
        <f>HYPERLINK("https://drive.google.com/file/d/1Dm-kVPadJYjvAecrfMFsIJcZQICHQP-h/view?usp=drivesdk","Voir le visuel 37")</f>
        <v/>
      </c>
      <c r="T41" s="11" t="inlineStr">
        <is>
          <t>Prisca Yao</t>
        </is>
      </c>
      <c r="U41" s="11" t="inlineStr">
        <is>
          <t>à valider</t>
        </is>
      </c>
    </row>
    <row r="42">
      <c r="A42" s="11" t="n">
        <v>38</v>
      </c>
      <c r="B42" s="12" t="n">
        <v>46354</v>
      </c>
      <c r="C42" s="11" t="inlineStr">
        <is>
          <t>samedi 28 nov.</t>
        </is>
      </c>
      <c r="D42" s="11" t="inlineStr">
        <is>
          <t>12:30</t>
        </is>
      </c>
      <c r="E42" s="11" t="inlineStr">
        <is>
          <t>Facebook</t>
        </is>
      </c>
      <c r="F42" s="11" t="inlineStr">
        <is>
          <t>Unifood</t>
        </is>
      </c>
      <c r="G42" s="11" t="inlineStr">
        <is>
          <t>Vidéo (reprise TikTok)</t>
        </is>
      </c>
      <c r="H42" s="11" t="inlineStr">
        <is>
          <t>Super Gnamakou</t>
        </is>
      </c>
      <c r="I42" s="11" t="inlineStr">
        <is>
          <t>Adultes 20 à 45 ans</t>
        </is>
      </c>
      <c r="J42" s="11" t="inlineStr">
        <is>
          <t>Fraîcheur de la route</t>
        </is>
      </c>
      <c r="K42" s="13" t="inlineStr">
        <is>
          <t>TOFU, se faire connaître</t>
        </is>
      </c>
      <c r="L42" s="11" t="inlineStr">
        <is>
          <t>Reprise du sketch harmattan</t>
        </is>
      </c>
      <c r="M42" s="11" t="inlineStr">
        <is>
          <t>Les matins frais sont là 🔥</t>
        </is>
      </c>
      <c r="N42" s="11" t="inlineStr"/>
      <c r="O42" s="11" t="inlineStr">
        <is>
          <t>Les matins frais sont là... Super Gnamakou réchauffe ! 🔥
Vous êtes plutôt menthe ou gingembre ? 👇</t>
        </is>
      </c>
      <c r="P42" s="11" t="inlineStr">
        <is>
          <t>#SuperGnamakou #TOMY</t>
        </is>
      </c>
      <c r="Q42" s="11" t="inlineStr">
        <is>
          <t>Commentez</t>
        </is>
      </c>
      <c r="R42" s="11" t="inlineStr">
        <is>
          <t>visuels/post38_gnamakou_video.jpg</t>
        </is>
      </c>
      <c r="S42" s="14">
        <f>HYPERLINK("https://drive.google.com/file/d/1z2F7zMxbRXNhNn3iIQcdhUwtUw-W2oSq/view?usp=drivesdk","Voir le visuel 38")</f>
        <v/>
      </c>
      <c r="T42" s="11" t="inlineStr">
        <is>
          <t>Prisca Yao</t>
        </is>
      </c>
      <c r="U42" s="11" t="inlineStr">
        <is>
          <t>à valider</t>
        </is>
      </c>
    </row>
    <row r="43">
      <c r="A43" s="11" t="n">
        <v>39</v>
      </c>
      <c r="B43" s="12" t="n">
        <v>46355</v>
      </c>
      <c r="C43" s="11" t="inlineStr">
        <is>
          <t>dimanche 29 nov.</t>
        </is>
      </c>
      <c r="D43" s="11" t="inlineStr">
        <is>
          <t>16:00</t>
        </is>
      </c>
      <c r="E43" s="11" t="inlineStr">
        <is>
          <t>Facebook</t>
        </is>
      </c>
      <c r="F43" s="11" t="inlineStr">
        <is>
          <t>Rio Pop @RioPop225</t>
        </is>
      </c>
      <c r="G43" s="11" t="inlineStr">
        <is>
          <t>Post photo</t>
        </is>
      </c>
      <c r="H43" s="11" t="inlineStr">
        <is>
          <t>Rio Pop</t>
        </is>
      </c>
      <c r="I43" s="11" t="inlineStr">
        <is>
          <t>Parents 25 à 45 ans</t>
        </is>
      </c>
      <c r="J43" s="11" t="inlineStr">
        <is>
          <t>Fêtes et anniversaires</t>
        </is>
      </c>
      <c r="K43" s="15" t="inlineStr">
        <is>
          <t>MOFU, faire considérer</t>
        </is>
      </c>
      <c r="L43" s="11" t="inlineStr">
        <is>
          <t>Annonce : le concours photo « Ma fête Rio Pop » arrive le 26 décembre</t>
        </is>
      </c>
      <c r="M43" s="11" t="inlineStr">
        <is>
          <t>Gardez vos plus belles photos de fêtes : un concours arrive 📸</t>
        </is>
      </c>
      <c r="N43" s="11" t="inlineStr">
        <is>
          <t>Préparez vos photos, on en reparle à Noël !</t>
        </is>
      </c>
      <c r="O43" s="11" t="inlineStr">
        <is>
          <t>Gardez vos plus belles photos de fêtes Rio Pop 📸🎉
Un concours photo arrive après Noël. Règlement complet bientôt sur la page.</t>
        </is>
      </c>
      <c r="P43" s="11" t="inlineStr">
        <is>
          <t>#RioPop #MaFêteRioPop</t>
        </is>
      </c>
      <c r="Q43" s="11" t="inlineStr">
        <is>
          <t>Abonnez-vous pour ne rien manquer</t>
        </is>
      </c>
      <c r="R43" s="11" t="inlineStr">
        <is>
          <t>visuels/post39_concours.jpg</t>
        </is>
      </c>
      <c r="S43" s="14">
        <f>HYPERLINK("https://drive.google.com/file/d/10-maAZqq8uY8g3b_Cpn2CwlR9rOD2Frv/view?usp=drivesdk","Voir le visuel 39")</f>
        <v/>
      </c>
      <c r="T43" s="11" t="inlineStr">
        <is>
          <t>Prisca Yao (règlement ⟦à valider par le juridique⟧)</t>
        </is>
      </c>
      <c r="U43" s="16" t="inlineStr">
        <is>
          <t>à valider</t>
        </is>
      </c>
    </row>
    <row r="44">
      <c r="A44" s="11" t="n">
        <v>40</v>
      </c>
      <c r="B44" s="12" t="n">
        <v>46355</v>
      </c>
      <c r="C44" s="11" t="inlineStr">
        <is>
          <t>dimanche 29 nov.</t>
        </is>
      </c>
      <c r="D44" s="11" t="inlineStr">
        <is>
          <t>19:00</t>
        </is>
      </c>
      <c r="E44" s="11" t="inlineStr">
        <is>
          <t>Instagram</t>
        </is>
      </c>
      <c r="F44" s="11" t="inlineStr">
        <is>
          <t>Rio Pop</t>
        </is>
      </c>
      <c r="G44" s="11" t="inlineStr">
        <is>
          <t>Post carré</t>
        </is>
      </c>
      <c r="H44" s="11" t="inlineStr">
        <is>
          <t>Rio Pop</t>
        </is>
      </c>
      <c r="I44" s="11" t="inlineStr">
        <is>
          <t>Parents 25 à 45 ans</t>
        </is>
      </c>
      <c r="J44" s="11" t="inlineStr">
        <is>
          <t>Fêtes et anniversaires</t>
        </is>
      </c>
      <c r="K44" s="15" t="inlineStr">
        <is>
          <t>MOFU, faire considérer</t>
        </is>
      </c>
      <c r="L44" s="11" t="inlineStr">
        <is>
          <t>Annonce du concours photo</t>
        </is>
      </c>
      <c r="M44" s="11" t="inlineStr">
        <is>
          <t>Concours photo en approche 📸</t>
        </is>
      </c>
      <c r="N44" s="11" t="inlineStr"/>
      <c r="O44" s="11" t="inlineStr">
        <is>
          <t>Concours photo en approche 📸🎉
Gardez vos plus belles photos de fêtes Rio Pop, le règlement arrive bientôt.</t>
        </is>
      </c>
      <c r="P44" s="11" t="inlineStr">
        <is>
          <t>#RioPop #RienNteStop #MaFêteRioPop #Concours #Fêtes2026 #Abidjan #225 #Babi</t>
        </is>
      </c>
      <c r="Q44" s="11" t="inlineStr">
        <is>
          <t>Activez les notifications</t>
        </is>
      </c>
      <c r="R44" s="11" t="inlineStr">
        <is>
          <t>visuels/post40_concours.jpg</t>
        </is>
      </c>
      <c r="S44" s="14">
        <f>HYPERLINK("https://drive.google.com/file/d/1E4apRD05adtjF-q0wIT_AXiOnuN5S2wI/view?usp=drivesdk","Voir le visuel 40")</f>
        <v/>
      </c>
      <c r="T44" s="11" t="inlineStr">
        <is>
          <t>Prisca Yao</t>
        </is>
      </c>
      <c r="U44" s="11" t="inlineStr">
        <is>
          <t>à valider</t>
        </is>
      </c>
    </row>
    <row r="45">
      <c r="A45" s="11" t="n">
        <v>41</v>
      </c>
      <c r="B45" s="12" t="n">
        <v>46356</v>
      </c>
      <c r="C45" s="11" t="inlineStr">
        <is>
          <t>lundi 30 nov.</t>
        </is>
      </c>
      <c r="D45" s="11" t="inlineStr">
        <is>
          <t>18:00</t>
        </is>
      </c>
      <c r="E45" s="11" t="inlineStr">
        <is>
          <t>TikTok</t>
        </is>
      </c>
      <c r="F45" s="11" t="inlineStr">
        <is>
          <t>TOMY</t>
        </is>
      </c>
      <c r="G45" s="11" t="inlineStr">
        <is>
          <t>Vidéo 15 s</t>
        </is>
      </c>
      <c r="H45" s="11" t="inlineStr">
        <is>
          <t>Toutes</t>
        </is>
      </c>
      <c r="I45" s="11" t="inlineStr">
        <is>
          <t>13 à 17 ans et jeunes adultes</t>
        </is>
      </c>
      <c r="J45" s="11" t="inlineStr">
        <is>
          <t>Couleurs et fun</t>
        </is>
      </c>
      <c r="K45" s="13" t="inlineStr">
        <is>
          <t>TOFU, se faire connaître</t>
        </is>
      </c>
      <c r="L45" s="11" t="inlineStr">
        <is>
          <t>Bilan du mois : merci la communauté</t>
        </is>
      </c>
      <c r="M45" s="11" t="inlineStr">
        <is>
          <t>Un mois sur TikTok, et vous avez tout coloré 🎨</t>
        </is>
      </c>
      <c r="N45" s="11" t="inlineStr">
        <is>
          <t>Vos meilleurs moments de novembre.</t>
        </is>
      </c>
      <c r="O45" s="11" t="inlineStr">
        <is>
          <t>Un mois sur TikTok, et vous avez tout coloré 🎨🍭❄️
Merci pour vos défis ! Décembre arrive, et ça va être encore plus fort.</t>
        </is>
      </c>
      <c r="P45" s="11" t="inlineStr">
        <is>
          <t>#TOMY #RioPop #MontreTaLangueRioPop #225</t>
        </is>
      </c>
      <c r="Q45" s="11" t="inlineStr">
        <is>
          <t>Reste abonné</t>
        </is>
      </c>
      <c r="R45" s="11" t="inlineStr">
        <is>
          <t>visuels/post41_famille.jpg</t>
        </is>
      </c>
      <c r="S45" s="14">
        <f>HYPERLINK("https://drive.google.com/file/d/1P09SMVK2pROblAuJOo097Q5PhR_w1PQJ/view?usp=drivesdk","Voir le visuel 41")</f>
        <v/>
      </c>
      <c r="T45" s="11" t="inlineStr">
        <is>
          <t>Koffi, Prisca Yao</t>
        </is>
      </c>
      <c r="U45" s="11" t="inlineStr">
        <is>
          <t>à valider</t>
        </is>
      </c>
    </row>
  </sheetData>
  <autoFilter ref="A4:U45"/>
  <mergeCells count="2">
    <mergeCell ref="A2:Q2"/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4" customWidth="1" min="3" max="3"/>
  </cols>
  <sheetData>
    <row r="1">
      <c r="A1" s="2" t="inlineStr">
        <is>
          <t>Logo et couleurs de la marque (relevées sur le logo et le site, non fournies par Unifood)</t>
        </is>
      </c>
    </row>
    <row r="3">
      <c r="A3" s="18" t="inlineStr">
        <is>
          <t>Couleur</t>
        </is>
      </c>
      <c r="B3" s="18" t="inlineStr">
        <is>
          <t>Code</t>
        </is>
      </c>
      <c r="C3" s="18" t="inlineStr">
        <is>
          <t>Usage</t>
        </is>
      </c>
    </row>
    <row r="4">
      <c r="A4" s="1" t="inlineStr">
        <is>
          <t>Framboise</t>
        </is>
      </c>
      <c r="B4" t="inlineStr">
        <is>
          <t>#E50046</t>
        </is>
      </c>
      <c r="C4" t="inlineStr">
        <is>
          <t>principale, logo Unifood</t>
        </is>
      </c>
    </row>
    <row r="5">
      <c r="A5" s="19" t="inlineStr">
        <is>
          <t>Jaune or</t>
        </is>
      </c>
      <c r="B5" t="inlineStr">
        <is>
          <t>#FAB900</t>
        </is>
      </c>
      <c r="C5" t="inlineStr">
        <is>
          <t>principale, couronne</t>
        </is>
      </c>
    </row>
    <row r="6">
      <c r="A6" s="18" t="inlineStr">
        <is>
          <t>Encre</t>
        </is>
      </c>
      <c r="B6" t="inlineStr">
        <is>
          <t>#2B1B22</t>
        </is>
      </c>
      <c r="C6" t="inlineStr">
        <is>
          <t>texte (proposée)</t>
        </is>
      </c>
    </row>
    <row r="7">
      <c r="A7" s="20" t="inlineStr">
        <is>
          <t>Orange</t>
        </is>
      </c>
      <c r="B7" t="inlineStr">
        <is>
          <t>#F07E26</t>
        </is>
      </c>
      <c r="C7" t="inlineStr">
        <is>
          <t>gamme (site)</t>
        </is>
      </c>
    </row>
    <row r="8">
      <c r="A8" s="21" t="inlineStr">
        <is>
          <t>Violet</t>
        </is>
      </c>
      <c r="B8" t="inlineStr">
        <is>
          <t>#A4539B</t>
        </is>
      </c>
      <c r="C8" t="inlineStr">
        <is>
          <t>gamme (site)</t>
        </is>
      </c>
    </row>
    <row r="9">
      <c r="A9" s="22" t="inlineStr">
        <is>
          <t>Vert</t>
        </is>
      </c>
      <c r="B9" t="inlineStr">
        <is>
          <t>#67B32E</t>
        </is>
      </c>
      <c r="C9" t="inlineStr">
        <is>
          <t>gamme (site)</t>
        </is>
      </c>
    </row>
    <row r="10">
      <c r="A10" s="23" t="inlineStr">
        <is>
          <t>Bleu ciel</t>
        </is>
      </c>
      <c r="B10" t="inlineStr">
        <is>
          <t>#61C3D9</t>
        </is>
      </c>
      <c r="C10" t="inlineStr">
        <is>
          <t>gamme (site)</t>
        </is>
      </c>
    </row>
    <row r="11">
      <c r="A11" s="24" t="inlineStr">
        <is>
          <t>Bordeaux</t>
        </is>
      </c>
      <c r="B11" t="inlineStr">
        <is>
          <t>#B30A3D</t>
        </is>
      </c>
      <c r="C11" t="inlineStr">
        <is>
          <t>gamme (site)</t>
        </is>
      </c>
    </row>
    <row r="13">
      <c r="A13" t="inlineStr">
        <is>
          <t>Polices de travail</t>
        </is>
      </c>
      <c r="B13" s="25" t="inlineStr">
        <is>
          <t>Baloo 2 (titres), Nunito (texte)</t>
        </is>
      </c>
      <c r="C13" t="inlineStr">
        <is>
          <t>polices officielles non fournies</t>
        </is>
      </c>
    </row>
    <row r="14">
      <c r="A14" t="inlineStr">
        <is>
          <t>Planche logo et couleurs</t>
        </is>
      </c>
      <c r="B14" s="25">
        <f>HYPERLINK("https://drive.google.com/file/d/1hGwyGVmbMIqFhJTHmG7VhOJUfc683eW1/view?usp=drivesdk","Ouvrir la planche")</f>
        <v/>
      </c>
    </row>
    <row r="15">
      <c r="A15" t="inlineStr">
        <is>
          <t>Dossier des visuels</t>
        </is>
      </c>
      <c r="B15">
        <f>HYPERLINK("https://drive.google.com/drive/folders/1MsJSHwA9hQAyiE5EAV6bfNfsnyzl-JBE","Ouvrir le dossier Drive")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  <col width="10" customWidth="1" min="3" max="3"/>
  </cols>
  <sheetData>
    <row r="1">
      <c r="A1" s="2" t="inlineStr">
        <is>
          <t>Vue d'ensemble (calculée sur l'onglet Calendrier)</t>
        </is>
      </c>
    </row>
    <row r="2"/>
    <row r="3">
      <c r="A3" s="26" t="inlineStr">
        <is>
          <t>Par réseau</t>
        </is>
      </c>
      <c r="B3" t="inlineStr">
        <is>
          <t>Publications</t>
        </is>
      </c>
    </row>
    <row r="4">
      <c r="A4" t="inlineStr">
        <is>
          <t>Facebook</t>
        </is>
      </c>
      <c r="B4">
        <f>COUNTIF(Calendrier!E5:E45,"Facebook")</f>
        <v/>
      </c>
    </row>
    <row r="5">
      <c r="A5" t="inlineStr">
        <is>
          <t>Instagram</t>
        </is>
      </c>
      <c r="B5">
        <f>COUNTIF(Calendrier!E5:E45,"Instagram")</f>
        <v/>
      </c>
    </row>
    <row r="6">
      <c r="A6" t="inlineStr">
        <is>
          <t>TikTok</t>
        </is>
      </c>
      <c r="B6">
        <f>COUNTIF(Calendrier!E5:E45,"TikTok")</f>
        <v/>
      </c>
    </row>
    <row r="7">
      <c r="A7" t="inlineStr">
        <is>
          <t>Total</t>
        </is>
      </c>
      <c r="B7">
        <f>COUNTA(Calendrier!A5:A45)</f>
        <v/>
      </c>
    </row>
    <row r="8"/>
    <row r="9">
      <c r="A9" s="26" t="inlineStr">
        <is>
          <t>Par étage</t>
        </is>
      </c>
      <c r="B9" t="inlineStr">
        <is>
          <t>Publications</t>
        </is>
      </c>
      <c r="C9" t="inlineStr">
        <is>
          <t>Part</t>
        </is>
      </c>
    </row>
    <row r="10">
      <c r="A10" t="inlineStr">
        <is>
          <t>TOFU, se faire connaître</t>
        </is>
      </c>
      <c r="B10">
        <f>COUNTIF(Calendrier!K5:K45,"TOFU, se faire connaître")</f>
        <v/>
      </c>
      <c r="C10" s="27">
        <f>B10/COUNTA(Calendrier!A5:A45)</f>
        <v/>
      </c>
    </row>
    <row r="11">
      <c r="A11" t="inlineStr">
        <is>
          <t>MOFU, faire considérer</t>
        </is>
      </c>
      <c r="B11">
        <f>COUNTIF(Calendrier!K5:K45,"MOFU, faire considérer")</f>
        <v/>
      </c>
      <c r="C11" s="27">
        <f>B11/COUNTA(Calendrier!A5:A45)</f>
        <v/>
      </c>
    </row>
    <row r="12">
      <c r="A12" t="inlineStr">
        <is>
          <t>BOFU, faire acheter</t>
        </is>
      </c>
      <c r="B12">
        <f>COUNTIF(Calendrier!K5:K45,"BOFU, faire acheter")</f>
        <v/>
      </c>
      <c r="C12" s="27">
        <f>B12/COUNTA(Calendrier!A5:A45)</f>
        <v/>
      </c>
    </row>
    <row r="13"/>
    <row r="14">
      <c r="A14" s="26" t="inlineStr">
        <is>
          <t>Par gamme</t>
        </is>
      </c>
      <c r="B14" t="inlineStr">
        <is>
          <t>Publications</t>
        </is>
      </c>
    </row>
    <row r="15">
      <c r="A15" t="inlineStr">
        <is>
          <t>Menthes TOMY</t>
        </is>
      </c>
      <c r="B15">
        <f>COUNTIF(Calendrier!H5:H45,"Menthes TOMY")</f>
        <v/>
      </c>
    </row>
    <row r="16">
      <c r="A16" t="inlineStr">
        <is>
          <t>Rio Pop</t>
        </is>
      </c>
      <c r="B16">
        <f>COUNTIF(Calendrier!H5:H45,"Rio Pop")</f>
        <v/>
      </c>
    </row>
    <row r="17">
      <c r="A17" t="inlineStr">
        <is>
          <t>Rio Pop Ice Cream</t>
        </is>
      </c>
      <c r="B17">
        <f>COUNTIF(Calendrier!H5:H45,"Rio Pop Ice Cream")</f>
        <v/>
      </c>
    </row>
    <row r="18">
      <c r="A18" t="inlineStr">
        <is>
          <t>Super Gnamakou</t>
        </is>
      </c>
      <c r="B18">
        <f>COUNTIF(Calendrier!H5:H45,"Super Gnamakou")</f>
        <v/>
      </c>
    </row>
    <row r="19">
      <c r="A19" t="inlineStr">
        <is>
          <t>Super Mint</t>
        </is>
      </c>
      <c r="B19">
        <f>COUNTIF(Calendrier!H5:H45,"Super Mint")</f>
        <v/>
      </c>
    </row>
    <row r="20">
      <c r="A20" t="inlineStr">
        <is>
          <t>Tempo</t>
        </is>
      </c>
      <c r="B20">
        <f>COUNTIF(Calendrier!H5:H45,"Tempo")</f>
        <v/>
      </c>
    </row>
    <row r="21">
      <c r="A21" t="inlineStr">
        <is>
          <t>Toutes</t>
        </is>
      </c>
      <c r="B21">
        <f>COUNTIF(Calendrier!H5:H45,"Toutes")</f>
        <v/>
      </c>
    </row>
    <row r="22">
      <c r="A22" t="inlineStr">
        <is>
          <t>Unifood (groupe)</t>
        </is>
      </c>
      <c r="B22">
        <f>COUNTIF(Calendrier!H5:H45,"Unifood (groupe)")</f>
        <v/>
      </c>
    </row>
    <row r="23"/>
    <row r="24">
      <c r="A24" s="26" t="inlineStr">
        <is>
          <t>Par pilier</t>
        </is>
      </c>
      <c r="B24" t="inlineStr">
        <is>
          <t>Publications</t>
        </is>
      </c>
    </row>
    <row r="25">
      <c r="A25" t="inlineStr">
        <is>
          <t>Couleurs et fun</t>
        </is>
      </c>
      <c r="B25">
        <f>COUNTIF(Calendrier!J5:J45,"Couleurs et fun")</f>
        <v/>
      </c>
    </row>
    <row r="26">
      <c r="A26" t="inlineStr">
        <is>
          <t>Coulisses qualité</t>
        </is>
      </c>
      <c r="B26">
        <f>COUNTIF(Calendrier!J5:J45,"Coulisses qualité")</f>
        <v/>
      </c>
    </row>
    <row r="27">
      <c r="A27" t="inlineStr">
        <is>
          <t>Défi Montre ta langue</t>
        </is>
      </c>
      <c r="B27">
        <f>COUNTIF(Calendrier!J5:J45,"Défi Montre ta langue")</f>
        <v/>
      </c>
    </row>
    <row r="28">
      <c r="A28" t="inlineStr">
        <is>
          <t>Fraîcheur de la route</t>
        </is>
      </c>
      <c r="B28">
        <f>COUNTIF(Calendrier!J5:J45,"Fraîcheur de la route")</f>
        <v/>
      </c>
    </row>
    <row r="29">
      <c r="A29" t="inlineStr">
        <is>
          <t>Fêtes et anniversaires</t>
        </is>
      </c>
      <c r="B29">
        <f>COUNTIF(Calendrier!J5:J45,"Fêtes et anniversaires")</f>
        <v/>
      </c>
    </row>
    <row r="30">
      <c r="A30" t="inlineStr">
        <is>
          <t>Où trouver Rio Pop</t>
        </is>
      </c>
      <c r="B30">
        <f>COUNTIF(Calendrier!J5:J45,"Où trouver Rio Pop")</f>
        <v/>
      </c>
    </row>
    <row r="31">
      <c r="A31" t="inlineStr">
        <is>
          <t>Temps fort</t>
        </is>
      </c>
      <c r="B31">
        <f>COUNTIF(Calendrier!J5:J45,"Temps fort")</f>
        <v/>
      </c>
    </row>
    <row r="32"/>
    <row r="33">
      <c r="A33" s="26" t="inlineStr">
        <is>
          <t>Cadence cible</t>
        </is>
      </c>
      <c r="B33" t="inlineStr">
        <is>
          <t>Facebook 3 à 4 par semaine, Instagram 2 à 3, TikTok 3 (charge tenable : Koffi 2 tournages par semaine, Prisca Yao publication et réponses)</t>
        </is>
      </c>
    </row>
    <row r="34">
      <c r="A34" s="26" t="inlineStr">
        <is>
          <t>Trous à combler</t>
        </is>
      </c>
      <c r="B34" t="inlineStr">
        <is>
          <t>Aucun post BOFU sur TikTok (normal : 13 à 17 ans, on ne pousse pas l'achat) ; statistiques passées des pages non reliées, donc heures de publication à confirmer après 2 semaines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12" customWidth="1" min="4" max="4"/>
    <col width="60" customWidth="1" min="5" max="5"/>
    <col width="70" customWidth="1" min="6" max="6"/>
  </cols>
  <sheetData>
    <row r="1">
      <c r="A1" s="18" t="inlineStr">
        <is>
          <t>Date</t>
        </is>
      </c>
      <c r="B1" s="18" t="inlineStr">
        <is>
          <t>Fête</t>
        </is>
      </c>
      <c r="C1" s="18" t="inlineStr">
        <is>
          <t>Type</t>
        </is>
      </c>
      <c r="D1" s="18" t="inlineStr">
        <is>
          <t>Date sûre ?</t>
        </is>
      </c>
      <c r="E1" s="18" t="inlineStr">
        <is>
          <t>Traitement</t>
        </is>
      </c>
      <c r="F1" s="18" t="inlineStr">
        <is>
          <t>Source</t>
        </is>
      </c>
    </row>
    <row r="2">
      <c r="A2" t="inlineStr">
        <is>
          <t>01/11/2026</t>
        </is>
      </c>
      <c r="B2" t="inlineStr">
        <is>
          <t>Toussaint</t>
        </is>
      </c>
      <c r="C2" t="inlineStr">
        <is>
          <t>Fête fixe, recueillement</t>
        </is>
      </c>
      <c r="D2" t="inlineStr">
        <is>
          <t>oui</t>
        </is>
      </c>
      <c r="E2" t="inlineStr">
        <is>
          <t>Aucun post produit ce jour-là</t>
        </is>
      </c>
      <c r="F2" t="inlineStr">
        <is>
          <t>https://paris.diplomatie.gouv.ci/jours_feries.php (lu le 19/10/2026)</t>
        </is>
      </c>
    </row>
    <row r="3">
      <c r="A3" t="inlineStr">
        <is>
          <t>15/11/2026</t>
        </is>
      </c>
      <c r="B3" t="inlineStr">
        <is>
          <t>Journée nationale de la Paix (dimanche)</t>
        </is>
      </c>
      <c r="C3" t="inlineStr">
        <is>
          <t>Fête fixe</t>
        </is>
      </c>
      <c r="D3" t="inlineStr">
        <is>
          <t>oui</t>
        </is>
      </c>
      <c r="E3" t="inlineStr">
        <is>
          <t>Visuel sobre, sans produit ni prix</t>
        </is>
      </c>
      <c r="F3" t="inlineStr">
        <is>
          <t>https://allemagne.diplomatie.gouv.ci/jours_feries.php (lu le 19/10/2026)</t>
        </is>
      </c>
    </row>
    <row r="4">
      <c r="A4" t="inlineStr">
        <is>
          <t>16/11/2026</t>
        </is>
      </c>
      <c r="B4" t="inlineStr">
        <is>
          <t>Lendemain chômé de la Journée de la Paix</t>
        </is>
      </c>
      <c r="C4" t="inlineStr">
        <is>
          <t>Report</t>
        </is>
      </c>
      <c r="D4" s="28" t="inlineStr">
        <is>
          <t>à confirmer</t>
        </is>
      </c>
      <c r="E4" t="inlineStr">
        <is>
          <t>Pas de post spécial ; le décret 96-205 ne prévoit le report que pour la fête nationale et le 1er mai</t>
        </is>
      </c>
      <c r="F4" t="inlineStr">
        <is>
          <t>timeanddate.com (lu le 19/10/2026) contre paris.diplomatie.gouv.ci : à vérifier</t>
        </is>
      </c>
    </row>
    <row r="5">
      <c r="A5" t="inlineStr">
        <is>
          <t>25/12/2026</t>
        </is>
      </c>
      <c r="B5" t="inlineStr">
        <is>
          <t>Noël (préparé dès le 23 nov.)</t>
        </is>
      </c>
      <c r="C5" t="inlineStr">
        <is>
          <t>Fête fixe</t>
        </is>
      </c>
      <c r="D5" t="inlineStr">
        <is>
          <t>oui</t>
        </is>
      </c>
      <c r="E5" t="inlineStr">
        <is>
          <t>Calendrier de décembre</t>
        </is>
      </c>
      <c r="F5" t="inlineStr">
        <is>
          <t>https://paris.diplomatie.gouv.ci/jours_feries.php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2026-10-19T10:45:27Z</dcterms:created>
  <dcterms:modified xmlns:dcterms="http://purl.org/dc/terms/" xmlns:xsi="http://www.w3.org/2001/XMLSchema-instance" xsi:type="dcterms:W3CDTF">2026-10-19T10:45:27Z</dcterms:modified>
</cp:coreProperties>
</file>