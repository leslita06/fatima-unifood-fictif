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Identité" sheetId="2" state="visible" r:id="rId2"/>
    <sheet xmlns:r="http://schemas.openxmlformats.org/officeDocument/2006/relationships" name="Presse et image" sheetId="3" state="visible" r:id="rId3"/>
    <sheet xmlns:r="http://schemas.openxmlformats.org/officeDocument/2006/relationships" name="Sources" sheetId="4" state="visible" r:id="rId4"/>
  </sheets>
  <definedNames>
    <definedName name="_xlnm._FilterDatabase" localSheetId="1" hidden="1">'Identité'!$A$4:$N$69</definedName>
    <definedName name="_xlnm._FilterDatabase" localSheetId="2" hidden="1">'Presse et image'!$A$4:$K$69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Funnel Display"/>
      <b val="1"/>
      <color rgb="00232754"/>
      <sz val="16"/>
    </font>
    <font>
      <name val="Work Sans"/>
      <color rgb="008F8F9A"/>
      <sz val="9"/>
    </font>
    <font>
      <name val="Space Grotesk"/>
      <b val="1"/>
      <color rgb="00FFFFFF"/>
      <sz val="10"/>
    </font>
    <font>
      <name val="Work Sans"/>
      <b val="1"/>
      <color rgb="002B2A35"/>
      <sz val="9"/>
    </font>
    <font>
      <name val="Work Sans"/>
      <color rgb="002B2A35"/>
      <sz val="9"/>
    </font>
    <font>
      <name val="Funnel Display"/>
      <b val="1"/>
      <color rgb="00007ABB"/>
      <sz val="13"/>
    </font>
    <font>
      <name val="Work Sans"/>
      <color rgb="002B2A35"/>
      <sz val="10"/>
    </font>
    <font>
      <name val="Work Sans"/>
      <b val="1"/>
      <color rgb="00FFFFFF"/>
      <sz val="9"/>
    </font>
  </fonts>
  <fills count="53">
    <fill>
      <patternFill/>
    </fill>
    <fill>
      <patternFill patternType="gray125"/>
    </fill>
    <fill>
      <patternFill patternType="solid">
        <fgColor rgb="00232754"/>
      </patternFill>
    </fill>
    <fill>
      <patternFill patternType="solid">
        <fgColor rgb="00F7F8FA"/>
      </patternFill>
    </fill>
    <fill>
      <patternFill patternType="solid">
        <fgColor rgb="00D9AE6D"/>
      </patternFill>
    </fill>
    <fill>
      <patternFill patternType="solid">
        <fgColor rgb="0000205B"/>
      </patternFill>
    </fill>
    <fill>
      <patternFill patternType="solid">
        <fgColor rgb="00DD1B2D"/>
      </patternFill>
    </fill>
    <fill>
      <patternFill patternType="solid">
        <fgColor rgb="00FF3612"/>
      </patternFill>
    </fill>
    <fill>
      <patternFill patternType="solid">
        <fgColor rgb="0000008F"/>
      </patternFill>
    </fill>
    <fill>
      <patternFill patternType="solid">
        <fgColor rgb="00008153"/>
      </patternFill>
    </fill>
    <fill>
      <patternFill patternType="solid">
        <fgColor rgb="00FF671D"/>
      </patternFill>
    </fill>
    <fill>
      <patternFill patternType="solid">
        <fgColor rgb="00404245"/>
      </patternFill>
    </fill>
    <fill>
      <patternFill patternType="solid">
        <fgColor rgb="000070AD"/>
      </patternFill>
    </fill>
    <fill>
      <patternFill patternType="solid">
        <fgColor rgb="00014E9F"/>
      </patternFill>
    </fill>
    <fill>
      <patternFill patternType="solid">
        <fgColor rgb="00006645"/>
      </patternFill>
    </fill>
    <fill>
      <patternFill patternType="solid">
        <fgColor rgb="00005EB8"/>
      </patternFill>
    </fill>
    <fill>
      <patternFill patternType="solid">
        <fgColor rgb="00005386"/>
      </patternFill>
    </fill>
    <fill>
      <patternFill patternType="solid">
        <fgColor rgb="00FF0000"/>
      </patternFill>
    </fill>
    <fill>
      <patternFill patternType="solid">
        <fgColor rgb="00007BC5"/>
      </patternFill>
    </fill>
    <fill>
      <patternFill patternType="solid"/>
    </fill>
    <fill>
      <patternFill patternType="solid">
        <fgColor rgb="00084897"/>
      </patternFill>
    </fill>
    <fill>
      <patternFill patternType="solid">
        <fgColor rgb="00008172"/>
      </patternFill>
    </fill>
    <fill>
      <patternFill patternType="solid">
        <fgColor rgb="00F37120"/>
      </patternFill>
    </fill>
    <fill>
      <patternFill patternType="solid">
        <fgColor rgb="0058595B"/>
      </patternFill>
    </fill>
    <fill>
      <patternFill patternType="solid">
        <fgColor rgb="00ED1C24"/>
      </patternFill>
    </fill>
    <fill>
      <patternFill patternType="solid">
        <fgColor rgb="0027509B"/>
      </patternFill>
    </fill>
    <fill>
      <patternFill patternType="solid">
        <fgColor rgb="00FF7900"/>
      </patternFill>
    </fill>
    <fill>
      <patternFill patternType="solid">
        <fgColor rgb="00123F75"/>
      </patternFill>
    </fill>
    <fill>
      <patternFill patternType="solid">
        <fgColor rgb="00212129"/>
      </patternFill>
    </fill>
    <fill>
      <patternFill patternType="solid">
        <fgColor rgb="000056A4"/>
      </patternFill>
    </fill>
    <fill>
      <patternFill patternType="solid">
        <fgColor rgb="00254A9A"/>
      </patternFill>
    </fill>
    <fill>
      <patternFill patternType="solid">
        <fgColor rgb="007A00E6"/>
      </patternFill>
    </fill>
    <fill>
      <patternFill patternType="solid">
        <fgColor rgb="00009E4D"/>
      </patternFill>
    </fill>
    <fill>
      <patternFill patternType="solid">
        <fgColor rgb="00E60028"/>
      </patternFill>
    </fill>
    <fill>
      <patternFill patternType="solid">
        <fgColor rgb="00243882"/>
      </patternFill>
    </fill>
    <fill>
      <patternFill patternType="solid">
        <fgColor rgb="0003234B"/>
      </patternFill>
    </fill>
    <fill>
      <patternFill patternType="solid">
        <fgColor rgb="002C2F73"/>
      </patternFill>
    </fill>
    <fill>
      <patternFill patternType="solid">
        <fgColor rgb="00FC0103"/>
      </patternFill>
    </fill>
    <fill>
      <patternFill patternType="solid">
        <fgColor rgb="003B3836"/>
      </patternFill>
    </fill>
    <fill>
      <patternFill patternType="solid">
        <fgColor rgb="00EB172B"/>
      </patternFill>
    </fill>
    <fill>
      <patternFill patternType="solid">
        <fgColor rgb="00FFCB05"/>
      </patternFill>
    </fill>
    <fill>
      <patternFill patternType="solid">
        <fgColor rgb="00005BA4"/>
      </patternFill>
    </fill>
    <fill>
      <patternFill patternType="solid">
        <fgColor rgb="001DC4FF"/>
      </patternFill>
    </fill>
    <fill>
      <patternFill patternType="solid">
        <fgColor rgb="00E9041E"/>
      </patternFill>
    </fill>
    <fill>
      <patternFill patternType="solid">
        <fgColor rgb="001C2B5B"/>
      </patternFill>
    </fill>
    <fill>
      <patternFill patternType="solid">
        <fgColor rgb="00E67900"/>
      </patternFill>
    </fill>
    <fill>
      <patternFill patternType="solid">
        <fgColor rgb="00A5DDB0"/>
      </patternFill>
    </fill>
    <fill>
      <patternFill patternType="solid">
        <fgColor rgb="00F7D6A3"/>
      </patternFill>
    </fill>
    <fill>
      <patternFill patternType="solid">
        <fgColor rgb="0004A64B"/>
      </patternFill>
    </fill>
    <fill>
      <patternFill patternType="solid">
        <fgColor rgb="00A2968A"/>
      </patternFill>
    </fill>
    <fill>
      <patternFill patternType="solid">
        <fgColor rgb="0040B83D"/>
      </patternFill>
    </fill>
    <fill>
      <patternFill patternType="solid">
        <fgColor rgb="0005462A"/>
      </patternFill>
    </fill>
    <fill>
      <patternFill patternType="solid">
        <fgColor rgb="00E1B854"/>
      </patternFill>
    </fill>
  </fills>
  <borders count="2">
    <border>
      <left/>
      <right/>
      <top/>
      <bottom/>
      <diagonal/>
    </border>
    <border>
      <bottom style="thin">
        <color rgb="00E4E8ED"/>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horizontal="center" vertical="top"/>
    </xf>
    <xf numFmtId="0" fontId="5" fillId="3"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4"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8" fillId="11" borderId="1" applyAlignment="1" pivotButton="0" quotePrefix="0" xfId="0">
      <alignment vertical="top" wrapText="1"/>
    </xf>
    <xf numFmtId="0" fontId="8" fillId="12" borderId="1" applyAlignment="1" pivotButton="0" quotePrefix="0" xfId="0">
      <alignment vertical="top" wrapText="1"/>
    </xf>
    <xf numFmtId="0" fontId="8" fillId="13" borderId="1" applyAlignment="1" pivotButton="0" quotePrefix="0" xfId="0">
      <alignment vertical="top" wrapText="1"/>
    </xf>
    <xf numFmtId="0" fontId="8" fillId="14" borderId="1" applyAlignment="1" pivotButton="0" quotePrefix="0" xfId="0">
      <alignment vertical="top" wrapText="1"/>
    </xf>
    <xf numFmtId="0" fontId="8" fillId="15" borderId="1" applyAlignment="1" pivotButton="0" quotePrefix="0" xfId="0">
      <alignment vertical="top" wrapText="1"/>
    </xf>
    <xf numFmtId="0" fontId="8" fillId="16" borderId="1" applyAlignment="1" pivotButton="0" quotePrefix="0" xfId="0">
      <alignment vertical="top" wrapText="1"/>
    </xf>
    <xf numFmtId="0" fontId="8" fillId="17" borderId="1" applyAlignment="1" pivotButton="0" quotePrefix="0" xfId="0">
      <alignment vertical="top" wrapText="1"/>
    </xf>
    <xf numFmtId="0" fontId="8" fillId="18" borderId="1" applyAlignment="1" pivotButton="0" quotePrefix="0" xfId="0">
      <alignment vertical="top" wrapText="1"/>
    </xf>
    <xf numFmtId="0" fontId="8" fillId="19" borderId="1" applyAlignment="1" pivotButton="0" quotePrefix="0" xfId="0">
      <alignment vertical="top" wrapText="1"/>
    </xf>
    <xf numFmtId="0" fontId="8" fillId="20" borderId="1" applyAlignment="1" pivotButton="0" quotePrefix="0" xfId="0">
      <alignment vertical="top" wrapText="1"/>
    </xf>
    <xf numFmtId="0" fontId="8" fillId="21" borderId="1" applyAlignment="1" pivotButton="0" quotePrefix="0" xfId="0">
      <alignment vertical="top" wrapText="1"/>
    </xf>
    <xf numFmtId="0" fontId="8" fillId="22" borderId="1" applyAlignment="1" pivotButton="0" quotePrefix="0" xfId="0">
      <alignment vertical="top" wrapText="1"/>
    </xf>
    <xf numFmtId="0" fontId="8" fillId="23" borderId="1" applyAlignment="1" pivotButton="0" quotePrefix="0" xfId="0">
      <alignment vertical="top" wrapText="1"/>
    </xf>
    <xf numFmtId="0" fontId="8" fillId="24" borderId="1" applyAlignment="1" pivotButton="0" quotePrefix="0" xfId="0">
      <alignment vertical="top" wrapText="1"/>
    </xf>
    <xf numFmtId="0" fontId="8" fillId="25" borderId="1" applyAlignment="1" pivotButton="0" quotePrefix="0" xfId="0">
      <alignment vertical="top" wrapText="1"/>
    </xf>
    <xf numFmtId="0" fontId="8" fillId="26" borderId="1" applyAlignment="1" pivotButton="0" quotePrefix="0" xfId="0">
      <alignment vertical="top" wrapText="1"/>
    </xf>
    <xf numFmtId="0" fontId="8" fillId="27" borderId="1" applyAlignment="1" pivotButton="0" quotePrefix="0" xfId="0">
      <alignment vertical="top" wrapText="1"/>
    </xf>
    <xf numFmtId="0" fontId="8" fillId="28" borderId="1" applyAlignment="1" pivotButton="0" quotePrefix="0" xfId="0">
      <alignment vertical="top" wrapText="1"/>
    </xf>
    <xf numFmtId="0" fontId="8" fillId="29" borderId="1" applyAlignment="1" pivotButton="0" quotePrefix="0" xfId="0">
      <alignment vertical="top" wrapText="1"/>
    </xf>
    <xf numFmtId="0" fontId="8" fillId="30" borderId="1" applyAlignment="1" pivotButton="0" quotePrefix="0" xfId="0">
      <alignment vertical="top" wrapText="1"/>
    </xf>
    <xf numFmtId="0" fontId="8" fillId="31" borderId="1" applyAlignment="1" pivotButton="0" quotePrefix="0" xfId="0">
      <alignment vertical="top" wrapText="1"/>
    </xf>
    <xf numFmtId="0" fontId="8" fillId="32" borderId="1" applyAlignment="1" pivotButton="0" quotePrefix="0" xfId="0">
      <alignment vertical="top" wrapText="1"/>
    </xf>
    <xf numFmtId="0" fontId="8" fillId="33" borderId="1" applyAlignment="1" pivotButton="0" quotePrefix="0" xfId="0">
      <alignment vertical="top" wrapText="1"/>
    </xf>
    <xf numFmtId="0" fontId="8" fillId="34" borderId="1" applyAlignment="1" pivotButton="0" quotePrefix="0" xfId="0">
      <alignment vertical="top" wrapText="1"/>
    </xf>
    <xf numFmtId="0" fontId="8" fillId="35" borderId="1" applyAlignment="1" pivotButton="0" quotePrefix="0" xfId="0">
      <alignment vertical="top" wrapText="1"/>
    </xf>
    <xf numFmtId="0" fontId="8" fillId="36" borderId="1" applyAlignment="1" pivotButton="0" quotePrefix="0" xfId="0">
      <alignment vertical="top" wrapText="1"/>
    </xf>
    <xf numFmtId="0" fontId="8" fillId="37" borderId="1" applyAlignment="1" pivotButton="0" quotePrefix="0" xfId="0">
      <alignment vertical="top" wrapText="1"/>
    </xf>
    <xf numFmtId="0" fontId="8" fillId="38" borderId="1" applyAlignment="1" pivotButton="0" quotePrefix="0" xfId="0">
      <alignment vertical="top" wrapText="1"/>
    </xf>
    <xf numFmtId="0" fontId="8" fillId="39" borderId="1" applyAlignment="1" pivotButton="0" quotePrefix="0" xfId="0">
      <alignment vertical="top" wrapText="1"/>
    </xf>
    <xf numFmtId="0" fontId="4" fillId="40" borderId="1" applyAlignment="1" pivotButton="0" quotePrefix="0" xfId="0">
      <alignment vertical="top" wrapText="1"/>
    </xf>
    <xf numFmtId="0" fontId="8" fillId="41" borderId="1" applyAlignment="1" pivotButton="0" quotePrefix="0" xfId="0">
      <alignment vertical="top" wrapText="1"/>
    </xf>
    <xf numFmtId="0" fontId="4" fillId="42" borderId="1" applyAlignment="1" pivotButton="0" quotePrefix="0" xfId="0">
      <alignment vertical="top" wrapText="1"/>
    </xf>
    <xf numFmtId="0" fontId="8" fillId="43" borderId="1" applyAlignment="1" pivotButton="0" quotePrefix="0" xfId="0">
      <alignment vertical="top" wrapText="1"/>
    </xf>
    <xf numFmtId="0" fontId="8" fillId="44" borderId="1" applyAlignment="1" pivotButton="0" quotePrefix="0" xfId="0">
      <alignment vertical="top" wrapText="1"/>
    </xf>
    <xf numFmtId="0" fontId="8" fillId="45" borderId="1" applyAlignment="1" pivotButton="0" quotePrefix="0" xfId="0">
      <alignment vertical="top" wrapText="1"/>
    </xf>
    <xf numFmtId="0" fontId="4" fillId="46" borderId="1" applyAlignment="1" pivotButton="0" quotePrefix="0" xfId="0">
      <alignment vertical="top" wrapText="1"/>
    </xf>
    <xf numFmtId="0" fontId="4" fillId="47" borderId="1" applyAlignment="1" pivotButton="0" quotePrefix="0" xfId="0">
      <alignment vertical="top" wrapText="1"/>
    </xf>
    <xf numFmtId="0" fontId="8" fillId="48" borderId="1" applyAlignment="1" pivotButton="0" quotePrefix="0" xfId="0">
      <alignment vertical="top" wrapText="1"/>
    </xf>
    <xf numFmtId="0" fontId="4" fillId="49" borderId="1" applyAlignment="1" pivotButton="0" quotePrefix="0" xfId="0">
      <alignment vertical="top" wrapText="1"/>
    </xf>
    <xf numFmtId="0" fontId="8" fillId="50" borderId="1" applyAlignment="1" pivotButton="0" quotePrefix="0" xfId="0">
      <alignment vertical="top" wrapText="1"/>
    </xf>
    <xf numFmtId="0" fontId="8" fillId="51" borderId="1" applyAlignment="1" pivotButton="0" quotePrefix="0" xfId="0">
      <alignment vertical="top" wrapText="1"/>
    </xf>
    <xf numFmtId="0" fontId="4" fillId="5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7</col>
      <colOff>0</colOff>
      <row>0</row>
      <rowOff>0</rowOff>
    </from>
    <ext cx="1333500"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52" customWidth="1" min="1" max="1"/>
    <col width="18" customWidth="1" min="2" max="2"/>
    <col width="24" customWidth="1" min="3" max="3"/>
    <col width="70" customWidth="1" min="4" max="4"/>
  </cols>
  <sheetData>
    <row r="1" ht="26" customHeight="1">
      <c r="A1" s="1" t="inlineStr">
        <is>
          <t>Benchmark marque, identité, presse et image : CAC 40 et Côte d'Ivoire</t>
        </is>
      </c>
    </row>
    <row r="2">
      <c r="A2" s="2" t="inlineStr">
        <is>
          <t>Relevé du 24 octobre 2026 sur sources publiques : 40 sociétés du CAC 40, 20 grandes entreprises ivoiriennes, 5 entités de l'État ivoirien.</t>
        </is>
      </c>
    </row>
    <row r="4" ht="32" customHeight="1">
      <c r="A4" s="3" t="inlineStr">
        <is>
          <t>Indicateur</t>
        </is>
      </c>
      <c r="B4" s="3" t="inlineStr">
        <is>
          <t>CAC 40 (sur 40)</t>
        </is>
      </c>
      <c r="C4" s="3" t="inlineStr">
        <is>
          <t>Côte d'Ivoire, entreprises (sur 20)</t>
        </is>
      </c>
      <c r="D4" s="3" t="inlineStr">
        <is>
          <t>Lecture</t>
        </is>
      </c>
    </row>
    <row r="5">
      <c r="A5" s="4" t="inlineStr">
        <is>
          <t>Raison d'être ou mission publiée</t>
        </is>
      </c>
      <c r="B5" s="5">
        <f>COUNTIFS('Identité'!B:B,"CAC 40",'Identité'!J:J,"&lt;&gt;Non trouvé dans les sources publiques")</f>
        <v/>
      </c>
      <c r="C5" s="5">
        <f>COUNTIFS('Identité'!B:B,"Côte d'Ivoire, entreprise",'Identité'!J:J,"&lt;&gt;Non trouvé dans les sources publiques")</f>
        <v/>
      </c>
      <c r="D5" s="6" t="inlineStr">
        <is>
          <t>La raison d'être (loi Pacte 2019) est devenue la norme en France ; en Côte d'Ivoire, elle reste rare.</t>
        </is>
      </c>
    </row>
    <row r="6">
      <c r="A6" s="7" t="inlineStr">
        <is>
          <t>Signature (slogan corporate) relevée</t>
        </is>
      </c>
      <c r="B6" s="8">
        <f>COUNTIFS('Identité'!B:B,"CAC 40",'Identité'!I:I,"&lt;&gt;Non trouvé dans les sources publiques")</f>
        <v/>
      </c>
      <c r="C6" s="8">
        <f>COUNTIFS('Identité'!B:B,"Côte d'Ivoire, entreprise",'Identité'!I:I,"&lt;&gt;Non trouvé dans les sources publiques")</f>
        <v/>
      </c>
      <c r="D6" s="9" t="inlineStr">
        <is>
          <t>En France, plus de la moitié des signatures sont en anglais ; en Côte d'Ivoire elles sont en français, courtes, souvent liées à un anniversaire.</t>
        </is>
      </c>
    </row>
    <row r="7">
      <c r="A7" s="4" t="inlineStr">
        <is>
          <t>Typographie de marque documentée</t>
        </is>
      </c>
      <c r="B7" s="5">
        <f>COUNTIFS('Identité'!B:B,"CAC 40",'Identité'!H:H,"&lt;&gt;Non trouvé dans les sources publiques")</f>
        <v/>
      </c>
      <c r="C7" s="5">
        <f>COUNTIFS('Identité'!B:B,"Côte d'Ivoire, entreprise",'Identité'!H:H,"&lt;&gt;Non trouvé dans les sources publiques")</f>
        <v/>
      </c>
      <c r="D7" s="6" t="inlineStr">
        <is>
          <t>Les groupes qui publient un design system en ligne (AXA, ENGIE, Airbus, Michelin, Orange) donnent leurs polices ; aucune entreprise ivoirienne relevée ne le fait.</t>
        </is>
      </c>
    </row>
    <row r="8">
      <c r="A8" s="7" t="inlineStr">
        <is>
          <t>Valeurs publiées</t>
        </is>
      </c>
      <c r="B8" s="8">
        <f>COUNTIFS('Identité'!B:B,"CAC 40",'Identité'!K:K,"&lt;&gt;Non trouvé dans les sources publiques")</f>
        <v/>
      </c>
      <c r="C8" s="8">
        <f>COUNTIFS('Identité'!B:B,"Côte d'Ivoire, entreprise",'Identité'!K:K,"&lt;&gt;Non trouvé dans les sources publiques")</f>
        <v/>
      </c>
      <c r="D8" s="9" t="inlineStr">
        <is>
          <t>Les valeurs reculent au profit de la raison d'être dans les grands groupes français.</t>
        </is>
      </c>
    </row>
    <row r="9">
      <c r="A9" s="4" t="inlineStr">
        <is>
          <t>Espace presse dédié</t>
        </is>
      </c>
      <c r="B9" s="5">
        <f>COUNTIFS('Presse et image'!B:B,"CAC 40",'Presse et image'!C:C,"&lt;&gt;Non trouvé dans les sources publiques")</f>
        <v/>
      </c>
      <c r="C9" s="5">
        <f>COUNTIFS('Presse et image'!B:B,"Côte d'Ivoire, entreprise",'Presse et image'!C:C,"&lt;&gt;Non trouvé dans les sources publiques")</f>
        <v/>
      </c>
      <c r="D9" s="6" t="inlineStr">
        <is>
          <t>Écart le plus net du benchmark : 39 sur 40 côté CAC 40, 3 sur 20 côté ivoirien.</t>
        </is>
      </c>
    </row>
    <row r="10">
      <c r="A10" s="7" t="inlineStr">
        <is>
          <t>Média de marque (magazine, podcast, site éditorial)</t>
        </is>
      </c>
      <c r="B10" s="8">
        <f>COUNTIFS('Presse et image'!B:B,"CAC 40",'Presse et image'!H:H,"&lt;&gt;Non trouvé dans les sources publiques")</f>
        <v/>
      </c>
      <c r="C10" s="8">
        <f>COUNTIFS('Presse et image'!B:B,"Côte d'Ivoire, entreprise",'Presse et image'!H:H,"&lt;&gt;Non trouvé dans les sources publiques")</f>
        <v/>
      </c>
      <c r="D10" s="9" t="inlineStr">
        <is>
          <t>Podcasts (LVMH, Kering, Schneider), sites éditoriaux (Orange Hello Future).</t>
        </is>
      </c>
    </row>
    <row r="11">
      <c r="A11" s="4" t="inlineStr">
        <is>
          <t>Crise d'image 2024-2026 documentée</t>
        </is>
      </c>
      <c r="B11" s="5">
        <f>COUNTIFS('Presse et image'!B:B,"CAC 40",'Presse et image'!J:J,"&lt;&gt;Non trouvé dans les sources publiques")</f>
        <v/>
      </c>
      <c r="C11" s="5">
        <f>COUNTIFS('Presse et image'!B:B,"Côte d'Ivoire, entreprise",'Presse et image'!J:J,"&lt;&gt;Non trouvé dans les sources publiques")</f>
        <v/>
      </c>
      <c r="D11" s="6" t="inlineStr">
        <is>
          <t>France : justice, emploi, produits. Côte d'Ivoire : qualité de service (amendes ARTCI, délestages, coupures d'eau).</t>
        </is>
      </c>
    </row>
    <row r="12">
      <c r="A12" s="7" t="inlineStr">
        <is>
          <t>Classement de réputation cité</t>
        </is>
      </c>
      <c r="B12" s="8">
        <f>COUNTIFS('Presse et image'!B:B,"CAC 40",'Presse et image'!I:I,"&lt;&gt;Non trouvé dans les sources publiques")</f>
        <v/>
      </c>
      <c r="C12" s="8">
        <f>COUNTIFS('Presse et image'!B:B,"Côte d'Ivoire, entreprise",'Presse et image'!I:I,"&lt;&gt;Non trouvé dans les sources publiques")</f>
        <v/>
      </c>
      <c r="D12" s="9" t="inlineStr">
        <is>
          <t>Brand Finance France 150 2026, Kantar BrandZ ; aucun classement de marques ivoiriennes de même nature trouvé.</t>
        </is>
      </c>
    </row>
    <row r="15">
      <c r="A15" s="10" t="inlineStr">
        <is>
          <t>Ce qu'il faut retenir</t>
        </is>
      </c>
    </row>
    <row r="16" ht="34" customHeight="1">
      <c r="A16" s="11" t="inlineStr">
        <is>
          <t>1. Une raison d'être d'une phrase, publiée, est la norme des grands groupes français (27 sur 40) et un manque en Côte d'Ivoire (7 sur 20) : c'est un différenciant facile pour une entreprise ivoirienne.</t>
        </is>
      </c>
    </row>
    <row r="17" ht="34" customHeight="1">
      <c r="A17" s="11" t="inlineStr">
        <is>
          <t>2. Le bleu domine le CAC 40 (15 marques sur 40) ; en Côte d'Ivoire, l'orange et le vert du drapeau reviennent chez les entreprises liées à l'État (PETROCI, SIR, Air Côte d'Ivoire, SODECI).</t>
        </is>
      </c>
    </row>
    <row r="18" ht="34" customHeight="1">
      <c r="A18" s="11" t="inlineStr">
        <is>
          <t>3. La moitié des grandes entreprises ivoiriennes relevées sont des filiales qui reprennent l'identité d'un groupe (Orange, MTN, Moov Africa, Société Générale, Ecobank…) : leur différence se joue sur le ton et la signature locale.</t>
        </is>
      </c>
    </row>
    <row r="19" ht="34" customHeight="1">
      <c r="A19" s="11" t="inlineStr">
        <is>
          <t>4. Au CAC 40, le visage public de la marque est le dirigeant, cité dans la presse et présent dans les récits corporate : l'image du dirigeant fait partie de la marque.</t>
        </is>
      </c>
    </row>
    <row r="20" ht="34" customHeight="1">
      <c r="A20" s="11" t="inlineStr">
        <is>
          <t>5. En France, la marque corporate vit sur LinkedIn (jusqu'à 7,1 millions d'abonnés pour L'Oréal) ; en Côte d'Ivoire, sur Facebook (2,9 millions pour Moov Africa) et par la presse (AIP, Fraternité Matin, Abidjan.net).</t>
        </is>
      </c>
    </row>
    <row r="21" ht="34" customHeight="1">
      <c r="A21" s="11" t="inlineStr">
        <is>
          <t>6. L'espace presse en ligne (communiqués, kit média, photothèque, contact) est quasi absent en Côte d'Ivoire : en ouvrir un place tout de suite une entreprise au niveau des standards internationaux.</t>
        </is>
      </c>
    </row>
    <row r="22" ht="34" customHeight="1">
      <c r="A22" s="11" t="inlineStr">
        <is>
          <t>7. Côté État, la parole passe par le ministre de la Communication porte-parole du gouvernement, le compte rendu du Conseil des ministres et le CICG ; une charte graphique unique a été validée en avril 2023 mais n'est pas publiée.</t>
        </is>
      </c>
    </row>
  </sheetData>
  <mergeCells count="7">
    <mergeCell ref="A17:D17"/>
    <mergeCell ref="A18:D18"/>
    <mergeCell ref="A22:D22"/>
    <mergeCell ref="A20:D20"/>
    <mergeCell ref="A21:D21"/>
    <mergeCell ref="A19:D19"/>
    <mergeCell ref="A16:D1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6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28" customWidth="1" min="3" max="3"/>
    <col width="16" customWidth="1" min="4" max="4"/>
    <col width="34" customWidth="1" min="5" max="5"/>
    <col width="30" customWidth="1" min="6" max="6"/>
    <col width="20" customWidth="1" min="7" max="7"/>
    <col width="26" customWidth="1" min="8" max="8"/>
    <col width="26" customWidth="1" min="9" max="9"/>
    <col width="40" customWidth="1" min="10" max="10"/>
    <col width="30" customWidth="1" min="11" max="11"/>
    <col width="20" customWidth="1" min="12" max="12"/>
    <col width="30" customWidth="1" min="13" max="13"/>
    <col width="28" customWidth="1" min="14" max="14"/>
  </cols>
  <sheetData>
    <row r="1" ht="26" customHeight="1">
      <c r="A1" s="1" t="inlineStr">
        <is>
          <t>Identité de marque</t>
        </is>
      </c>
    </row>
    <row r="2">
      <c r="A2" s="2" t="inlineStr">
        <is>
          <t>Une ligne par marque. « Non trouvé dans les sources publiques » : l'information n'a pas été publiée ou trouvée, rien n'a été déduit.</t>
        </is>
      </c>
    </row>
    <row r="4" ht="32" customHeight="1">
      <c r="A4" s="3" t="inlineStr">
        <is>
          <t>Marque</t>
        </is>
      </c>
      <c r="B4" s="3" t="inlineStr">
        <is>
          <t>Groupe</t>
        </is>
      </c>
      <c r="C4" s="3" t="inlineStr">
        <is>
          <t>Secteur</t>
        </is>
      </c>
      <c r="D4" s="3" t="inlineStr">
        <is>
          <t>Type de logo</t>
        </is>
      </c>
      <c r="E4" s="3" t="inlineStr">
        <is>
          <t>Description du logo</t>
        </is>
      </c>
      <c r="F4" s="3" t="inlineStr">
        <is>
          <t>Dernier changement de logo</t>
        </is>
      </c>
      <c r="G4" s="3" t="inlineStr">
        <is>
          <t>Couleurs (hex)</t>
        </is>
      </c>
      <c r="H4" s="3" t="inlineStr">
        <is>
          <t>Typographie</t>
        </is>
      </c>
      <c r="I4" s="3" t="inlineStr">
        <is>
          <t>Signature</t>
        </is>
      </c>
      <c r="J4" s="3" t="inlineStr">
        <is>
          <t>Raison d'être ou mission</t>
        </is>
      </c>
      <c r="K4" s="3" t="inlineStr">
        <is>
          <t>Valeurs</t>
        </is>
      </c>
      <c r="L4" s="3" t="inlineStr">
        <is>
          <t>Ton observé</t>
        </is>
      </c>
      <c r="M4" s="3" t="inlineStr">
        <is>
          <t>Architecture de marque</t>
        </is>
      </c>
      <c r="N4" s="3" t="inlineStr">
        <is>
          <t>Origine des couleurs</t>
        </is>
      </c>
    </row>
    <row r="5">
      <c r="A5" s="4" t="inlineStr">
        <is>
          <t>Accor</t>
        </is>
      </c>
      <c r="B5" s="6" t="inlineStr">
        <is>
          <t>CAC 40</t>
        </is>
      </c>
      <c r="C5" s="6" t="inlineStr">
        <is>
          <t>Hôtellerie</t>
        </is>
      </c>
      <c r="D5" s="6" t="inlineStr">
        <is>
          <t>monogramme + logotype</t>
        </is>
      </c>
      <c r="E5" s="6" t="inlineStr">
        <is>
          <t>Monogramme associant le « A » et l'oie, symbole historique de la marque, avec le nom ACCOR, dans des tons or.</t>
        </is>
      </c>
      <c r="F5" s="6" t="inlineStr">
        <is>
          <t>2019 : nouveau logo en monogramme (le « A » et l'oie), lancé avec la marque de services ALL – Accor Live Limitless (présentée le 22/02/2019) ; agence citée par rebrand.com : Distinction.</t>
        </is>
      </c>
      <c r="G5" s="12" t="inlineStr">
        <is>
          <t>#D9AE6D ; #FFD280</t>
        </is>
      </c>
      <c r="H5" s="6" t="inlineStr">
        <is>
          <t>Non trouvé dans les sources publiques</t>
        </is>
      </c>
      <c r="I5" s="6" t="inlineStr">
        <is>
          <t>Non trouvé dans les sources publiques</t>
        </is>
      </c>
      <c r="J5" s="6" t="inlineStr">
        <is>
          <t>Artisans pionniers d'une hospitalité responsable, nous faisons dialoguer les cultures, avec passion et générosité.</t>
        </is>
      </c>
      <c r="K5" s="6" t="inlineStr">
        <is>
          <t>Non trouvé dans les sources publiques</t>
        </is>
      </c>
      <c r="L5" s="6" t="inlineStr">
        <is>
          <t>chaleureux, engagé, inspirant</t>
        </is>
      </c>
      <c r="M5" s="6" t="inlineStr">
        <is>
          <t>maison de marques (45+ marques, ex. Sofitel, Novotel, ibis) avec une marque relationnelle transverse ALL</t>
        </is>
      </c>
      <c r="N5" s="6" t="inlineStr">
        <is>
          <t>lues dans le code du fichier SVG du logo sur Wikimedia (dégradé or : #FFD280, #D9AE6D, #BE955F, #AE8557) ; pas de charte chiffrée consultée</t>
        </is>
      </c>
    </row>
    <row r="6">
      <c r="A6" s="7" t="inlineStr">
        <is>
          <t>Airbus</t>
        </is>
      </c>
      <c r="B6" s="9" t="inlineStr">
        <is>
          <t>CAC 40</t>
        </is>
      </c>
      <c r="C6" s="9" t="inlineStr">
        <is>
          <t>Aéronautique, espace et défense</t>
        </is>
      </c>
      <c r="D6" s="9" t="inlineStr">
        <is>
          <t>logotype seul</t>
        </is>
      </c>
      <c r="E6" s="9" t="inlineStr">
        <is>
          <t>Mot « AIRBUS » en capitales, en bleu foncé, dessiné dans une typographie propre à la marque.</t>
        </is>
      </c>
      <c r="F6" s="9" t="inlineStr">
        <is>
          <t>2017 : à la fusion d'Airbus Group avec sa division principale (Airbus SE), le logo passe à un mot seul, plat, sans la sphère.</t>
        </is>
      </c>
      <c r="G6" s="13" t="inlineStr">
        <is>
          <t>#00205B</t>
        </is>
      </c>
      <c r="H6" s="9" t="inlineStr">
        <is>
          <t>Logo dans la typographie « Airbus » dessinée pour la marque ; police de communication Inter, qui remplace Neue Helvetica LT (annonce du Brand Centre Airbus)</t>
        </is>
      </c>
      <c r="I6" s="9" t="inlineStr">
        <is>
          <t>Non trouvé dans les sources publiques</t>
        </is>
      </c>
      <c r="J6" s="9" t="inlineStr">
        <is>
          <t>We pioneer sustainable aerospace for a safe and united world.</t>
        </is>
      </c>
      <c r="K6" s="9" t="inlineStr">
        <is>
          <t>orientation client ; intégrité ; respect ; créativité ; fiabilité ; esprit d'équipe</t>
        </is>
      </c>
      <c r="L6" s="9" t="inlineStr">
        <is>
          <t>technique, assuré, tourné vers l'avenir</t>
        </is>
      </c>
      <c r="M6" s="9" t="inlineStr">
        <is>
          <t>monolithique (une seule marque Airbus pour les avions, les hélicoptères, la défense et l'espace)</t>
        </is>
      </c>
      <c r="N6" s="9" t="inlineStr">
        <is>
          <t>lue dans le code du fichier SVG du logo sur Wikimedia</t>
        </is>
      </c>
    </row>
    <row r="7">
      <c r="A7" s="4" t="inlineStr">
        <is>
          <t>Air Liquide</t>
        </is>
      </c>
      <c r="B7" s="6" t="inlineStr">
        <is>
          <t>CAC 40</t>
        </is>
      </c>
      <c r="C7" s="6" t="inlineStr">
        <is>
          <t>Gaz industriels et santé</t>
        </is>
      </c>
      <c r="D7" s="6" t="inlineStr">
        <is>
          <t>symbole + logotype</t>
        </is>
      </c>
      <c r="E7" s="6" t="inlineStr">
        <is>
          <t>Carré bleu avec un motif blanc, à côté du nom « Air Liquide » en rouge.</t>
        </is>
      </c>
      <c r="F7" s="6" t="inlineStr">
        <is>
          <t>2017 : nouvelle identité visuelle annoncée le 12 janvier 2017, prolongement de la signature « Creative Oxygen » lancée en 2014.</t>
        </is>
      </c>
      <c r="G7" s="14" t="inlineStr">
        <is>
          <t>#DD1B2D ; #3C60A5</t>
        </is>
      </c>
      <c r="H7" s="6" t="inlineStr">
        <is>
          <t>Non trouvé dans les sources publiques</t>
        </is>
      </c>
      <c r="I7" s="6" t="inlineStr">
        <is>
          <t>Creative Oxygen</t>
        </is>
      </c>
      <c r="J7" s="6" t="inlineStr">
        <is>
          <t>Non trouvé dans les sources publiques</t>
        </is>
      </c>
      <c r="K7" s="6" t="inlineStr">
        <is>
          <t>Non trouvé dans les sources publiques</t>
        </is>
      </c>
      <c r="L7" s="6" t="inlineStr">
        <is>
          <t>sobre, scientifique, pédagogique</t>
        </is>
      </c>
      <c r="M7" s="6" t="inlineStr">
        <is>
          <t>monolithique (filiales sous le nom Air Liquide, ex. Air Liquide Healthcare)</t>
        </is>
      </c>
      <c r="N7" s="6" t="inlineStr">
        <is>
          <t>lues dans le code du fichier SVG du logo 2017 sur Wikimedia</t>
        </is>
      </c>
    </row>
    <row r="8">
      <c r="A8" s="7" t="inlineStr">
        <is>
          <t>ArcelorMittal</t>
        </is>
      </c>
      <c r="B8" s="9" t="inlineStr">
        <is>
          <t>CAC 40</t>
        </is>
      </c>
      <c r="C8" s="9" t="inlineStr">
        <is>
          <t>Sidérurgie et mines</t>
        </is>
      </c>
      <c r="D8" s="9" t="inlineStr">
        <is>
          <t>symbole + logotype</t>
        </is>
      </c>
      <c r="E8" s="9" t="inlineStr">
        <is>
          <t>Le nom « ArcelorMittal » en un seul mot, surmonté à droite d'une courbe orange.</t>
        </is>
      </c>
      <c r="F8" s="9" t="inlineStr">
        <is>
          <t>2007 : lancement de la marque après la fusion Arcelor–Mittal Steel en 2006. En 2021, la promesse de marque et les valeurs sont revues, mais pas le logo.</t>
        </is>
      </c>
      <c r="G8" s="15" t="inlineStr">
        <is>
          <t>#FF3612 ; #4E4E48</t>
        </is>
      </c>
      <c r="H8" s="9" t="inlineStr">
        <is>
          <t>Non trouvé dans les sources publiques</t>
        </is>
      </c>
      <c r="I8" s="9" t="inlineStr">
        <is>
          <t>Smarter steels for people and planet</t>
        </is>
      </c>
      <c r="J8" s="9" t="inlineStr">
        <is>
          <t>Smarter steels for people and planet</t>
        </is>
      </c>
      <c r="K8" s="9" t="inlineStr">
        <is>
          <t>Non trouvé dans les sources publiques</t>
        </is>
      </c>
      <c r="L8" s="9" t="inlineStr">
        <is>
          <t>industriel, institutionnel</t>
        </is>
      </c>
      <c r="M8" s="9" t="inlineStr">
        <is>
          <t>monolithique avec déclinaisons par pays (ArcelorMittal France, Luxembourg…)</t>
        </is>
      </c>
      <c r="N8" s="9" t="inlineStr">
        <is>
          <t>lues dans le code du fichier SVG du logo sur Wikipédia (fr)</t>
        </is>
      </c>
    </row>
    <row r="9">
      <c r="A9" s="4" t="inlineStr">
        <is>
          <t>AXA</t>
        </is>
      </c>
      <c r="B9" s="6" t="inlineStr">
        <is>
          <t>CAC 40</t>
        </is>
      </c>
      <c r="C9" s="6" t="inlineStr">
        <is>
          <t>Assurance</t>
        </is>
      </c>
      <c r="D9" s="6" t="inlineStr">
        <is>
          <t>monogramme</t>
        </is>
      </c>
      <c r="E9" s="6" t="inlineStr">
        <is>
          <t>Carré bleu foncé avec « AXA » en lettres blanches, traversé par une barre rouge en diagonale (le « switch »).</t>
        </is>
      </c>
      <c r="F9" s="6" t="inlineStr">
        <is>
          <t>2025 : évolution de l'identité (« Brand Identity Evolution 2025 ») qui garde le même logo et assouplit l'usage du switch rouge (en clair, texturé ou plat).</t>
        </is>
      </c>
      <c r="G9" s="16" t="inlineStr">
        <is>
          <t>#00008F ; #FF1721 ; #FFFFFF</t>
        </is>
      </c>
      <c r="H9" s="6" t="inlineStr">
        <is>
          <t>Publico Headline (Commercial Type) et Source Sans 3, publiées dans le design system AXA</t>
        </is>
      </c>
      <c r="I9" s="6" t="inlineStr">
        <is>
          <t>Know You Can</t>
        </is>
      </c>
      <c r="J9" s="6" t="inlineStr">
        <is>
          <t>Agir pour le progrès humain en protégeant ce qui compte</t>
        </is>
      </c>
      <c r="K9" s="6" t="inlineStr">
        <is>
          <t>Non trouvé dans les sources publiques</t>
        </is>
      </c>
      <c r="L9" s="6" t="inlineStr">
        <is>
          <t>confiant, encourageant, humain</t>
        </is>
      </c>
      <c r="M9" s="6" t="inlineStr">
        <is>
          <t>monolithique (AXA France, AXA XL… sous la même marque)</t>
        </is>
      </c>
      <c r="N9" s="6" t="inlineStr">
        <is>
          <t>noms publiés dans le design system AXA ; codes lus dans le SVG du logo sur Wikimedia</t>
        </is>
      </c>
    </row>
    <row r="10">
      <c r="A10" s="7" t="inlineStr">
        <is>
          <t>BNP Paribas</t>
        </is>
      </c>
      <c r="B10" s="9" t="inlineStr">
        <is>
          <t>CAC 40</t>
        </is>
      </c>
      <c r="C10" s="9" t="inlineStr">
        <is>
          <t>Banque</t>
        </is>
      </c>
      <c r="D10" s="9" t="inlineStr">
        <is>
          <t>symbole + logotype</t>
        </is>
      </c>
      <c r="E10" s="9" t="inlineStr">
        <is>
          <t>Carré vert avec des étoiles qui s'envolent et se transforment en oiseaux, à côté du nom « BNP PARIBAS ».</t>
        </is>
      </c>
      <c r="F10" s="9" t="inlineStr">
        <is>
          <t>Emblème créé en 2000, à la fusion, par Laurent Vincenti pour l'agence A&amp;Co ; Wikipédia mentionne une version 2016. Pas de refonte récente trouvée.</t>
        </is>
      </c>
      <c r="G10" s="17" t="inlineStr">
        <is>
          <t>#008153 ; #B8B8B8 ; #292929</t>
        </is>
      </c>
      <c r="H10" s="9" t="inlineStr">
        <is>
          <t>Non trouvé dans les sources publiques</t>
        </is>
      </c>
      <c r="I10" s="9" t="inlineStr">
        <is>
          <t>La banque d'un monde qui change</t>
        </is>
      </c>
      <c r="J10" s="9" t="inlineStr">
        <is>
          <t>Non trouvé dans les sources publiques</t>
        </is>
      </c>
      <c r="K10" s="9" t="inlineStr">
        <is>
          <t>agilité ; culture de la conformité ; satisfaction client ; ouverture</t>
        </is>
      </c>
      <c r="L10" s="9" t="inlineStr">
        <is>
          <t>institutionnel, engagé</t>
        </is>
      </c>
      <c r="M10" s="9" t="inlineStr">
        <is>
          <t>mixte : marque monolithique pour l'essentiel (BNP Paribas Cardif, CIB…), plus des marques propres (Hello bank!)</t>
        </is>
      </c>
      <c r="N10" s="9" t="inlineStr">
        <is>
          <t>Mesurée sur le logo officiel le 24/10/2026</t>
        </is>
      </c>
    </row>
    <row r="11">
      <c r="A11" s="4" t="inlineStr">
        <is>
          <t>Bouygues</t>
        </is>
      </c>
      <c r="B11" s="6" t="inlineStr">
        <is>
          <t>CAC 40</t>
        </is>
      </c>
      <c r="C11" s="6" t="inlineStr">
        <is>
          <t>Groupe diversifié : construction, télécoms, médias, énergies et services</t>
        </is>
      </c>
      <c r="D11" s="6" t="inlineStr">
        <is>
          <t>symbole + logotype</t>
        </is>
      </c>
      <c r="E11" s="6" t="inlineStr">
        <is>
          <t>Le nom « Bouygues » avec un élément graphique orange.</t>
        </is>
      </c>
      <c r="F11" s="6" t="inlineStr">
        <is>
          <t>Non trouvé dans les sources publiques</t>
        </is>
      </c>
      <c r="G11" s="18" t="inlineStr">
        <is>
          <t>#FF671D ; #1A171B</t>
        </is>
      </c>
      <c r="H11" s="6" t="inlineStr">
        <is>
          <t>Non trouvé dans les sources publiques</t>
        </is>
      </c>
      <c r="I11" s="6" t="inlineStr">
        <is>
          <t>Non trouvé dans les sources publiques</t>
        </is>
      </c>
      <c r="J11" s="6" t="inlineStr">
        <is>
          <t>Non trouvé dans les sources publiques</t>
        </is>
      </c>
      <c r="K11" s="6" t="inlineStr">
        <is>
          <t>respect ; engagement ; esprit pionnier ; transmission</t>
        </is>
      </c>
      <c r="L11" s="6" t="inlineStr">
        <is>
          <t>institutionnel, humain</t>
        </is>
      </c>
      <c r="M11" s="6" t="inlineStr">
        <is>
          <t>maison de marques endossées (Bouygues Construction, Bouygues Telecom, Colas, TF1, Equans)</t>
        </is>
      </c>
      <c r="N11" s="6" t="inlineStr">
        <is>
          <t>lues dans le code du fichier SVG du logo sur Wikimedia</t>
        </is>
      </c>
    </row>
    <row r="12">
      <c r="A12" s="7" t="inlineStr">
        <is>
          <t>Bureau Veritas</t>
        </is>
      </c>
      <c r="B12" s="9" t="inlineStr">
        <is>
          <t>CAC 40</t>
        </is>
      </c>
      <c r="C12" s="9" t="inlineStr">
        <is>
          <t>Essais, inspection et certification</t>
        </is>
      </c>
      <c r="D12" s="9" t="inlineStr">
        <is>
          <t>symbole + logotype</t>
        </is>
      </c>
      <c r="E12" s="9" t="inlineStr">
        <is>
          <t>Écusson historique (emblème de la Vérité adopté en 1829) à côté du nom « Bureau Veritas ».</t>
        </is>
      </c>
      <c r="F12" s="9" t="inlineStr">
        <is>
          <t>Non trouvé dans les sources publiques</t>
        </is>
      </c>
      <c r="G12" s="19" t="inlineStr">
        <is>
          <t>#404245 ; #D6E1E9 ; #22272D</t>
        </is>
      </c>
      <c r="H12" s="9" t="inlineStr">
        <is>
          <t>Non trouvé dans les sources publiques</t>
        </is>
      </c>
      <c r="I12" s="9" t="inlineStr">
        <is>
          <t>Shaping a World of Trust</t>
        </is>
      </c>
      <c r="J12" s="9" t="inlineStr">
        <is>
          <t>Non trouvé dans les sources publiques</t>
        </is>
      </c>
      <c r="K12" s="9" t="inlineStr">
        <is>
          <t>confiance ; éthique ; responsabilité ; ambition et humilité ; ouverture et inclusion</t>
        </is>
      </c>
      <c r="L12" s="9" t="inlineStr">
        <is>
          <t>expert, rassurant</t>
        </is>
      </c>
      <c r="M12" s="9" t="inlineStr">
        <is>
          <t>monolithique (filiales renommées Bureau Veritas, ex. Maxxam en 2019)</t>
        </is>
      </c>
      <c r="N12" s="9" t="inlineStr">
        <is>
          <t>Mesurée sur le logo officiel le 24/10/2026</t>
        </is>
      </c>
    </row>
    <row r="13">
      <c r="A13" s="4" t="inlineStr">
        <is>
          <t>Capgemini</t>
        </is>
      </c>
      <c r="B13" s="6" t="inlineStr">
        <is>
          <t>CAC 40</t>
        </is>
      </c>
      <c r="C13" s="6" t="inlineStr">
        <is>
          <t>Conseil et services numériques</t>
        </is>
      </c>
      <c r="D13" s="6" t="inlineStr">
        <is>
          <t>symbole + logotype</t>
        </is>
      </c>
      <c r="E13" s="6" t="inlineStr">
        <is>
          <t>Le nom « Capgemini » en lettres dessinées à la main, accompagné du symbole du « spade » (pique).</t>
        </is>
      </c>
      <c r="F13" s="6" t="inlineStr">
        <is>
          <t>2017 : nouvelle identité dévoilée le 17 octobre 2017 pour les 50 ans du groupe ; le nom dessiné à la main fait désormais partie du logo.</t>
        </is>
      </c>
      <c r="G13" s="20" t="inlineStr">
        <is>
          <t>#0070AD ; #12ABDB</t>
        </is>
      </c>
      <c r="H13" s="6" t="inlineStr">
        <is>
          <t>Non trouvé dans les sources publiques</t>
        </is>
      </c>
      <c r="I13" s="6" t="inlineStr">
        <is>
          <t>Get the future you want</t>
        </is>
      </c>
      <c r="J13" s="6" t="inlineStr">
        <is>
          <t>Libérer les énergies humaines par la technologie pour un avenir inclusif et durable.</t>
        </is>
      </c>
      <c r="K13" s="6" t="inlineStr">
        <is>
          <t>honnêteté ; audace ; confiance ; liberté ; plaisir ; modestie ; esprit d'équipe</t>
        </is>
      </c>
      <c r="L13" s="6" t="inlineStr">
        <is>
          <t>optimiste, humain, affirmé</t>
        </is>
      </c>
      <c r="M13" s="6" t="inlineStr">
        <is>
          <t>monolithique (Capgemini Invent, Capgemini Engineering…) ; Sogeti, ancienne marque propre</t>
        </is>
      </c>
      <c r="N13" s="6" t="inlineStr">
        <is>
          <t>lues dans le code du fichier SVG du logo sur Wikipédia (fr)</t>
        </is>
      </c>
    </row>
    <row r="14">
      <c r="A14" s="7" t="inlineStr">
        <is>
          <t>Carrefour</t>
        </is>
      </c>
      <c r="B14" s="9" t="inlineStr">
        <is>
          <t>CAC 40</t>
        </is>
      </c>
      <c r="C14" s="9" t="inlineStr">
        <is>
          <t>Grande distribution</t>
        </is>
      </c>
      <c r="D14" s="9" t="inlineStr">
        <is>
          <t>symbole + logotype</t>
        </is>
      </c>
      <c r="E14" s="9" t="inlineStr">
        <is>
          <t>Losange rouge et bleu dont l'espace blanc central forme le « C », à côté du nom « Carrefour ».</t>
        </is>
      </c>
      <c r="F14" s="9" t="inlineStr">
        <is>
          <t>Logo créé en 1966 pour l'hypermarché de Vénissieux ; la date de la dernière modernisation n'est pas confirmée par une source primaire.</t>
        </is>
      </c>
      <c r="G14" s="21" t="inlineStr">
        <is>
          <t>#014E9F ; #E50011</t>
        </is>
      </c>
      <c r="H14" s="9" t="inlineStr">
        <is>
          <t>Non trouvé dans les sources publiques</t>
        </is>
      </c>
      <c r="I14" s="9" t="inlineStr">
        <is>
          <t>On a tous droit au meilleur</t>
        </is>
      </c>
      <c r="J14" s="9" t="inlineStr">
        <is>
          <t>Non trouvé dans les sources publiques</t>
        </is>
      </c>
      <c r="K14" s="9" t="inlineStr">
        <is>
          <t>Non trouvé dans les sources publiques</t>
        </is>
      </c>
      <c r="L14" s="9" t="inlineStr">
        <is>
          <t>proche, grand public, militant (prix et alimentation)</t>
        </is>
      </c>
      <c r="M14" s="9" t="inlineStr">
        <is>
          <t>monolithique par formats (Carrefour Market, City, Express…), plus des marques propres</t>
        </is>
      </c>
      <c r="N14" s="9" t="inlineStr">
        <is>
          <t>lues dans le code du fichier SVG du logo (version 2010) sur Wikipédia (fr)</t>
        </is>
      </c>
    </row>
    <row r="15">
      <c r="A15" s="4" t="inlineStr">
        <is>
          <t>Crédit Agricole</t>
        </is>
      </c>
      <c r="B15" s="6" t="inlineStr">
        <is>
          <t>CAC 40</t>
        </is>
      </c>
      <c r="C15" s="6" t="inlineStr">
        <is>
          <t>Banque et assurance (mutualiste)</t>
        </is>
      </c>
      <c r="D15" s="6" t="inlineStr">
        <is>
          <t>symbole + logotype</t>
        </is>
      </c>
      <c r="E15" s="6" t="inlineStr">
        <is>
          <t>Monogramme « CA » stylisé dans un carré, à côté du nom « Crédit Agricole ».</t>
        </is>
      </c>
      <c r="F15" s="6" t="inlineStr">
        <is>
          <t>2020 : version du logo référencée sur Wikimedia (« Crédit Agricole 2020 logo ») ; le monogramme « CA » date de 1987. Le détail de l'évolution 2020 n'est pas sourcé ici.</t>
        </is>
      </c>
      <c r="G15" s="22" t="inlineStr">
        <is>
          <t>#006645 ; #008A91 ; #E20613</t>
        </is>
      </c>
      <c r="H15" s="6" t="inlineStr">
        <is>
          <t>Non trouvé dans les sources publiques</t>
        </is>
      </c>
      <c r="I15" s="6" t="inlineStr">
        <is>
          <t>Toute une banque pour vous</t>
        </is>
      </c>
      <c r="J15" s="6" t="inlineStr">
        <is>
          <t>Agir chaque jour dans l'intérêt de nos clients et de la société</t>
        </is>
      </c>
      <c r="K15" s="6" t="inlineStr">
        <is>
          <t>proximité ; responsabilité ; solidarité</t>
        </is>
      </c>
      <c r="L15" s="6" t="inlineStr">
        <is>
          <t>proche, rassurant, mutualiste</t>
        </is>
      </c>
      <c r="M15" s="6" t="inlineStr">
        <is>
          <t>mixte : marque Crédit Agricole et 39 caisses régionales, plus des marques propres (LCL, Amundi, Sofinco)</t>
        </is>
      </c>
      <c r="N15" s="6" t="inlineStr">
        <is>
          <t>lues dans le code du fichier SVG du logo 2020 sur Wikimedia</t>
        </is>
      </c>
    </row>
    <row r="16">
      <c r="A16" s="7" t="inlineStr">
        <is>
          <t>Danone</t>
        </is>
      </c>
      <c r="B16" s="9" t="inlineStr">
        <is>
          <t>CAC 40</t>
        </is>
      </c>
      <c r="C16" s="9" t="inlineStr">
        <is>
          <t>Agroalimentaire</t>
        </is>
      </c>
      <c r="D16" s="9" t="inlineStr">
        <is>
          <t>symbole + logotype</t>
        </is>
      </c>
      <c r="E16" s="9" t="inlineStr">
        <is>
          <t>Le nom « DANONE » en bleu, avec le symbole du petit garçon et de l'étoile sur la version corporate.</t>
        </is>
      </c>
      <c r="F16" s="9" t="inlineStr">
        <is>
          <t>2017 : refonte du logo avec la signature « One Planet. One Health ». En 2026, danone.com/fr annonce « la nouvelle identité de Danone » ; il n'est pas vérifié qu'elle concerne le logo du groupe et pas seulement les yaourts de la marque.</t>
        </is>
      </c>
      <c r="G16" s="23" t="inlineStr">
        <is>
          <t>#005EB8 ; #01B4F2 ; #008AD1</t>
        </is>
      </c>
      <c r="H16" s="9" t="inlineStr">
        <is>
          <t>Non trouvé dans les sources publiques</t>
        </is>
      </c>
      <c r="I16" s="9" t="inlineStr">
        <is>
          <t>One Planet. One Health</t>
        </is>
      </c>
      <c r="J16" s="9" t="inlineStr">
        <is>
          <t>Apporter la santé par l'alimentation au plus grand nombre</t>
        </is>
      </c>
      <c r="K16" s="9" t="inlineStr">
        <is>
          <t>Non trouvé dans les sources publiques</t>
        </is>
      </c>
      <c r="L16" s="9" t="inlineStr">
        <is>
          <t>engagé, bienveillant, axé santé</t>
        </is>
      </c>
      <c r="M16" s="9" t="inlineStr">
        <is>
          <t>maison de marques (Evian, Alpro, Activia, Blédina…), Danone étant à la fois le groupe et une marque produit</t>
        </is>
      </c>
      <c r="N16" s="9" t="inlineStr">
        <is>
          <t>Mesurée sur le logo officiel le 24/10/2026</t>
        </is>
      </c>
    </row>
    <row r="17">
      <c r="A17" s="4" t="inlineStr">
        <is>
          <t>Dassault Systèmes</t>
        </is>
      </c>
      <c r="B17" s="6" t="inlineStr">
        <is>
          <t>CAC 40</t>
        </is>
      </c>
      <c r="C17" s="6" t="inlineStr">
        <is>
          <t>Logiciels (3D, conception, jumeaux virtuels)</t>
        </is>
      </c>
      <c r="D17" s="6" t="inlineStr">
        <is>
          <t>symbole + logotype</t>
        </is>
      </c>
      <c r="E17" s="6" t="inlineStr">
        <is>
          <t>Symbole « 3DS » (3D et DS entrelacés) à côté du nom « Dassault Systèmes ».</t>
        </is>
      </c>
      <c r="F17" s="6" t="inlineStr">
        <is>
          <t>2001 : nouvelle identité visuelle avec le symbole 3DS (rapport annuel 2001) ; pas de refonte récente trouvée.</t>
        </is>
      </c>
      <c r="G17" s="24" t="inlineStr">
        <is>
          <t>#005386</t>
        </is>
      </c>
      <c r="H17" s="6" t="inlineStr">
        <is>
          <t>Non trouvé dans les sources publiques</t>
        </is>
      </c>
      <c r="I17" s="6" t="inlineStr">
        <is>
          <t>The 3DEXPERIENCE Company</t>
        </is>
      </c>
      <c r="J17" s="6" t="inlineStr">
        <is>
          <t>provide businesses and people with virtual universes that enable sustainable innovation and help harmonize product, nature and life</t>
        </is>
      </c>
      <c r="K17" s="6" t="inlineStr">
        <is>
          <t>Non trouvé dans les sources publiques</t>
        </is>
      </c>
      <c r="L17" s="6" t="inlineStr">
        <is>
          <t>visionnaire, technique</t>
        </is>
      </c>
      <c r="M17" s="6" t="inlineStr">
        <is>
          <t>marque corporate et marques de logiciels (CATIA, SOLIDWORKS, Medidata…) réunies sur la plateforme 3DEXPERIENCE</t>
        </is>
      </c>
      <c r="N17" s="6" t="inlineStr">
        <is>
          <t>lue dans le code du fichier SVG du logo sur Wikipédia (fr)</t>
        </is>
      </c>
    </row>
    <row r="18">
      <c r="A18" s="7" t="inlineStr">
        <is>
          <t>Eiffage</t>
        </is>
      </c>
      <c r="B18" s="9" t="inlineStr">
        <is>
          <t>CAC 40</t>
        </is>
      </c>
      <c r="C18" s="9" t="inlineStr">
        <is>
          <t>BTP et concessions</t>
        </is>
      </c>
      <c r="D18" s="9" t="inlineStr">
        <is>
          <t>logotype seul</t>
        </is>
      </c>
      <c r="E18" s="9" t="inlineStr">
        <is>
          <t>Le nom « EIFFAGE » en noir, avec un élément rouge.</t>
        </is>
      </c>
      <c r="F18" s="9" t="inlineStr">
        <is>
          <t>Non trouvé dans les sources publiques</t>
        </is>
      </c>
      <c r="G18" s="25" t="inlineStr">
        <is>
          <t>#FF0000 ; #000000</t>
        </is>
      </c>
      <c r="H18" s="9" t="inlineStr">
        <is>
          <t>Non trouvé dans les sources publiques</t>
        </is>
      </c>
      <c r="I18" s="9" t="inlineStr">
        <is>
          <t>Making the difference</t>
        </is>
      </c>
      <c r="J18" s="9" t="inlineStr">
        <is>
          <t>Non trouvé dans les sources publiques</t>
        </is>
      </c>
      <c r="K18" s="9" t="inlineStr">
        <is>
          <t>exemplarité ; responsabilité ; confiance ; transparence ; lucidité ; courage ; pugnacité</t>
        </is>
      </c>
      <c r="L18" s="9" t="inlineStr">
        <is>
          <t>sobre, industriel, engagé</t>
        </is>
      </c>
      <c r="M18" s="9" t="inlineStr">
        <is>
          <t>monolithique endossée (Eiffage Construction, Eiffage Route, APRR en marque propre)</t>
        </is>
      </c>
      <c r="N18" s="9" t="inlineStr">
        <is>
          <t>lues dans le code du fichier SVG du logo sur Wikimedia (valeurs génériques, peut-être approximatives)</t>
        </is>
      </c>
    </row>
    <row r="19">
      <c r="A19" s="4" t="inlineStr">
        <is>
          <t>Engie</t>
        </is>
      </c>
      <c r="B19" s="6" t="inlineStr">
        <is>
          <t>CAC 40</t>
        </is>
      </c>
      <c r="C19" s="6" t="inlineStr">
        <is>
          <t>Énergie</t>
        </is>
      </c>
      <c r="D19" s="6" t="inlineStr">
        <is>
          <t>logotype seul</t>
        </is>
      </c>
      <c r="E19" s="6" t="inlineStr">
        <is>
          <t>Le nom « ENGIE » en capitales bleues, avec un arc au-dessus (identité 2015 ; le détail du dessin n'est pas vérifié sur une source primaire).</t>
        </is>
      </c>
      <c r="F19" s="6" t="inlineStr">
        <is>
          <t>2015 : GDF SUEZ devient ENGIE (avril 2015). Une version « 2026 » du logo existe sur Wikimedia (un seul bleu #007BC5), mais aucune annonce officielle n'a été trouvée.</t>
        </is>
      </c>
      <c r="G19" s="26" t="inlineStr">
        <is>
          <t>#007BC5 ; #FFFFFF ; #00AAFF ; #23D2B5</t>
        </is>
      </c>
      <c r="H19" s="6" t="inlineStr">
        <is>
          <t>Clan Pro et Right Grotesk pour les supports imprimés (polices de marque publiées sur engie.design)</t>
        </is>
      </c>
      <c r="I19" s="6" t="inlineStr">
        <is>
          <t>Non trouvé dans les sources publiques</t>
        </is>
      </c>
      <c r="J19" s="6" t="inlineStr">
        <is>
          <t>Agir pour accélérer la transition vers une économie neutre en carbone, par des solutions plus sobres en énergie et plus respectueuses de l'environnement.</t>
        </is>
      </c>
      <c r="K19" s="6" t="inlineStr">
        <is>
          <t>Non trouvé dans les sources publiques</t>
        </is>
      </c>
      <c r="L19" s="6" t="inlineStr">
        <is>
          <t>engagé, optimiste</t>
        </is>
      </c>
      <c r="M19" s="6" t="inlineStr">
        <is>
          <t>monolithique (ENGIE et ses déclinaisons par pays et par activité)</t>
        </is>
      </c>
      <c r="N19" s="6" t="inlineStr">
        <is>
          <t>charte publiée (design system Fluid, engie.design)</t>
        </is>
      </c>
    </row>
    <row r="20">
      <c r="A20" s="7" t="inlineStr">
        <is>
          <t>EssilorLuxottica</t>
        </is>
      </c>
      <c r="B20" s="9" t="inlineStr">
        <is>
          <t>CAC 40</t>
        </is>
      </c>
      <c r="C20" s="9" t="inlineStr">
        <is>
          <t>Optique (verres, montures, lunettes de soleil)</t>
        </is>
      </c>
      <c r="D20" s="9" t="inlineStr">
        <is>
          <t>logotype seul</t>
        </is>
      </c>
      <c r="E20" s="9" t="inlineStr">
        <is>
          <t>Le nom « EssilorLuxottica » en un seul mot (version actuelle en noir sur Wikimedia Commons).</t>
        </is>
      </c>
      <c r="F20" s="9" t="inlineStr">
        <is>
          <t>2018 : logo créé à la fusion d'Essilor et de Luxottica. Une variante bleue et grise (#005192, #6D6E71) a précédé la version noire actuelle ; la date du changement n'est pas sourcée.</t>
        </is>
      </c>
      <c r="G20" s="27" t="inlineStr">
        <is>
          <t>#000000</t>
        </is>
      </c>
      <c r="H20" s="9" t="inlineStr">
        <is>
          <t>Non trouvé dans les sources publiques</t>
        </is>
      </c>
      <c r="I20" s="9" t="inlineStr">
        <is>
          <t>Non trouvé dans les sources publiques</t>
        </is>
      </c>
      <c r="J20" s="9" t="inlineStr">
        <is>
          <t>to help people around the world to see more, be more and live life to its fullest by addressing their evolving vision needs and personal style aspirations (mission ; la page mission a depuis été reformulée autour de la med-tech et de l'IA)</t>
        </is>
      </c>
      <c r="K20" s="9" t="inlineStr">
        <is>
          <t>Non trouvé dans les sources publiques</t>
        </is>
      </c>
      <c r="L20" s="9" t="inlineStr">
        <is>
          <t>corporate, tourné vers l'innovation</t>
        </is>
      </c>
      <c r="M20" s="9" t="inlineStr">
        <is>
          <t>maison de marques (Ray-Ban, Oakley, Varilux, Transitions, Sunglass Hut, LensCrafters…)</t>
        </is>
      </c>
      <c r="N20" s="9" t="inlineStr">
        <is>
          <t>lue dans le code du fichier SVG actuel sur Wikimedia</t>
        </is>
      </c>
    </row>
    <row r="21">
      <c r="A21" s="4" t="inlineStr">
        <is>
          <t>Eurofins Scientific</t>
        </is>
      </c>
      <c r="B21" s="6" t="inlineStr">
        <is>
          <t>CAC 40</t>
        </is>
      </c>
      <c r="C21" s="6" t="inlineStr">
        <is>
          <t>Laboratoires d'analyses et de tests</t>
        </is>
      </c>
      <c r="D21" s="6" t="inlineStr">
        <is>
          <t>symbole + logotype</t>
        </is>
      </c>
      <c r="E21" s="6" t="inlineStr">
        <is>
          <t>Symbole bleu et orange à côté du nom « eurofins » en bleu.</t>
        </is>
      </c>
      <c r="F21" s="6" t="inlineStr">
        <is>
          <t>Non trouvé dans les sources publiques</t>
        </is>
      </c>
      <c r="G21" s="28" t="inlineStr">
        <is>
          <t>#084897 ; #F5822B</t>
        </is>
      </c>
      <c r="H21" s="6" t="inlineStr">
        <is>
          <t>Non trouvé dans les sources publiques</t>
        </is>
      </c>
      <c r="I21" s="6" t="inlineStr">
        <is>
          <t>Testing for Life</t>
        </is>
      </c>
      <c r="J21" s="6" t="inlineStr">
        <is>
          <t>Non trouvé dans les sources publiques</t>
        </is>
      </c>
      <c r="K21" s="6" t="inlineStr">
        <is>
          <t>Non trouvé dans les sources publiques</t>
        </is>
      </c>
      <c r="L21" s="6" t="inlineStr">
        <is>
          <t>scientifique, factuel</t>
        </is>
      </c>
      <c r="M21" s="6" t="inlineStr">
        <is>
          <t>monolithique endossée (« Eurofins | nom de l'entité », ex. Eurofins Consumer Products Assurance)</t>
        </is>
      </c>
      <c r="N21" s="6" t="inlineStr">
        <is>
          <t>lues dans le code du fichier SVG du logo sur Wikimedia</t>
        </is>
      </c>
    </row>
    <row r="22">
      <c r="A22" s="7" t="inlineStr">
        <is>
          <t>Euronext</t>
        </is>
      </c>
      <c r="B22" s="9" t="inlineStr">
        <is>
          <t>CAC 40</t>
        </is>
      </c>
      <c r="C22" s="9" t="inlineStr">
        <is>
          <t>Infrastructure de marchés financiers</t>
        </is>
      </c>
      <c r="D22" s="9" t="inlineStr">
        <is>
          <t>symbole + logotype</t>
        </is>
      </c>
      <c r="E22" s="9" t="inlineStr">
        <is>
          <t>Le nom « euronext » accompagné d'un symbole aux tons verts et bleus.</t>
        </is>
      </c>
      <c r="F22" s="9" t="inlineStr">
        <is>
          <t>L'identité actuelle est étendue aux marchés intégrés (ELITE en 2024, Euronext Athens après l'intégration de la Bourse d'Athènes) ; l'année de création du logo n'est pas sourcée.</t>
        </is>
      </c>
      <c r="G22" s="29" t="inlineStr">
        <is>
          <t>#008172 ; #3AC0BE ; #7FBC3D ; #00AEEF</t>
        </is>
      </c>
      <c r="H22" s="9" t="inlineStr">
        <is>
          <t>Non trouvé dans les sources publiques</t>
        </is>
      </c>
      <c r="I22" s="9" t="inlineStr">
        <is>
          <t>Non trouvé dans les sources publiques</t>
        </is>
      </c>
      <c r="J22" s="9" t="inlineStr">
        <is>
          <t>Shape capital markets for future generations (raison d'être affichée par le groupe)</t>
        </is>
      </c>
      <c r="K22" s="9" t="inlineStr">
        <is>
          <t>Non trouvé dans les sources publiques</t>
        </is>
      </c>
      <c r="L22" s="9" t="inlineStr">
        <is>
          <t>institutionnel, européen</t>
        </is>
      </c>
      <c r="M22" s="9" t="inlineStr">
        <is>
          <t>monolithique (Euronext Paris, Euronext Milan, Euronext Athens…)</t>
        </is>
      </c>
      <c r="N22" s="9" t="inlineStr">
        <is>
          <t>lues dans le code du fichier SVG du logo sur Wikimedia</t>
        </is>
      </c>
    </row>
    <row r="23">
      <c r="A23" s="4" t="inlineStr">
        <is>
          <t>Hermès</t>
        </is>
      </c>
      <c r="B23" s="6" t="inlineStr">
        <is>
          <t>CAC 40</t>
        </is>
      </c>
      <c r="C23" s="6" t="inlineStr">
        <is>
          <t>Luxe</t>
        </is>
      </c>
      <c r="D23" s="6" t="inlineStr">
        <is>
          <t>symbole + logotype</t>
        </is>
      </c>
      <c r="E23" s="6" t="inlineStr">
        <is>
          <t>Duc attelé (petite calèche) avec un cheval et un groom, au-dessus du nom « HERMES Paris ».</t>
        </is>
      </c>
      <c r="F23" s="6" t="inlineStr">
        <is>
          <t>Calèche déposée officiellement en 1945 ; elle s'inspire d'un dessin d'Alfred de Dreux. Pas de changement récent.</t>
        </is>
      </c>
      <c r="G23" s="30" t="inlineStr">
        <is>
          <t>#F37120 ; #F9C1A0 ; #FBDAC6</t>
        </is>
      </c>
      <c r="H23" s="6" t="inlineStr">
        <is>
          <t>Non trouvé dans les sources publiques</t>
        </is>
      </c>
      <c r="I23" s="6" t="inlineStr">
        <is>
          <t>Non trouvé dans les sources publiques</t>
        </is>
      </c>
      <c r="J23" s="6" t="inlineStr">
        <is>
          <t>Non trouvé dans les sources publiques</t>
        </is>
      </c>
      <c r="K23" s="6" t="inlineStr">
        <is>
          <t>Non trouvé dans les sources publiques</t>
        </is>
      </c>
      <c r="L23" s="6" t="inlineStr">
        <is>
          <t>discret, artisanal, poétique</t>
        </is>
      </c>
      <c r="M23" s="6" t="inlineStr">
        <is>
          <t>monolithique (Hermès et ses métiers), plus quelques marques propres (Saint-Louis, Puiforcat, John Lobb)</t>
        </is>
      </c>
      <c r="N23" s="6" t="inlineStr">
        <is>
          <t>Mesurée sur le logo officiel le 24/10/2026</t>
        </is>
      </c>
    </row>
    <row r="24">
      <c r="A24" s="7" t="inlineStr">
        <is>
          <t>Kering</t>
        </is>
      </c>
      <c r="B24" s="9" t="inlineStr">
        <is>
          <t>CAC 40</t>
        </is>
      </c>
      <c r="C24" s="9" t="inlineStr">
        <is>
          <t>Luxe</t>
        </is>
      </c>
      <c r="D24" s="9" t="inlineStr">
        <is>
          <t>symbole + logotype</t>
        </is>
      </c>
      <c r="E24" s="9" t="inlineStr">
        <is>
          <t>Tête de chouette stylisée au-dessus du nom « KERING » en capitales grises.</t>
        </is>
      </c>
      <c r="F24" s="9" t="inlineStr">
        <is>
          <t>2013 : PPR devient Kering, avec un logo à la chouette et la signature « Empowering Imagination ».</t>
        </is>
      </c>
      <c r="G24" s="31" t="inlineStr">
        <is>
          <t>#58595B</t>
        </is>
      </c>
      <c r="H24" s="9" t="inlineStr">
        <is>
          <t>Non trouvé dans les sources publiques</t>
        </is>
      </c>
      <c r="I24" s="9" t="inlineStr">
        <is>
          <t>Empowering Imagination</t>
        </is>
      </c>
      <c r="J24" s="9" t="inlineStr">
        <is>
          <t>Non trouvé dans les sources publiques</t>
        </is>
      </c>
      <c r="K24" s="9" t="inlineStr">
        <is>
          <t>Non trouvé dans les sources publiques</t>
        </is>
      </c>
      <c r="L24" s="9" t="inlineStr">
        <is>
          <t>créatif, engagé (développement durable, femmes)</t>
        </is>
      </c>
      <c r="M24" s="9" t="inlineStr">
        <is>
          <t>maison de marques (Gucci, Saint Laurent, Bottega Veneta, Balenciaga…)</t>
        </is>
      </c>
      <c r="N24" s="9" t="inlineStr">
        <is>
          <t>lue dans le code du fichier SVG du logo sur Wikipédia (fr)</t>
        </is>
      </c>
    </row>
    <row r="25">
      <c r="A25" s="4" t="inlineStr">
        <is>
          <t>Legrand</t>
        </is>
      </c>
      <c r="B25" s="6" t="inlineStr">
        <is>
          <t>CAC 40</t>
        </is>
      </c>
      <c r="C25" s="6" t="inlineStr">
        <is>
          <t>Infrastructures électriques et numériques du bâtiment</t>
        </is>
      </c>
      <c r="D25" s="6" t="inlineStr">
        <is>
          <t>logotype seul</t>
        </is>
      </c>
      <c r="E25" s="6" t="inlineStr">
        <is>
          <t>Nom « legrand » en lettres minuscules rouges.</t>
        </is>
      </c>
      <c r="F25" s="6" t="inlineStr">
        <is>
          <t>Non trouvé dans les sources publiques</t>
        </is>
      </c>
      <c r="G25" s="32" t="inlineStr">
        <is>
          <t>#ed1c24</t>
        </is>
      </c>
      <c r="H25" s="6" t="inlineStr">
        <is>
          <t>Non trouvé dans les sources publiques</t>
        </is>
      </c>
      <c r="I25" s="6" t="inlineStr">
        <is>
          <t>Non trouvé dans les sources publiques</t>
        </is>
      </c>
      <c r="J25" s="6" t="inlineStr">
        <is>
          <t>Améliorer les vies en transformant les espaces où les gens vivent, travaillent et se rencontrent, avec des infrastructures électriques et numériques et des solutions connectées simples, innovantes et durables.</t>
        </is>
      </c>
      <c r="K25" s="6" t="inlineStr">
        <is>
          <t>Non trouvé dans les sources publiques</t>
        </is>
      </c>
      <c r="L25" s="6" t="inlineStr">
        <is>
          <t>technique, sobre, engagé</t>
        </is>
      </c>
      <c r="M25" s="6" t="inlineStr">
        <is>
          <t>mixte : marque groupe Legrand + marques produits (ex. Bticino)</t>
        </is>
      </c>
      <c r="N25" s="6" t="inlineStr">
        <is>
          <t>relevé dans le fichier SVG du logo (Wikimedia Commons, source indiquée : l'entreprise), le 24/10/2026</t>
        </is>
      </c>
    </row>
    <row r="26">
      <c r="A26" s="7" t="inlineStr">
        <is>
          <t>L'Oréal</t>
        </is>
      </c>
      <c r="B26" s="9" t="inlineStr">
        <is>
          <t>CAC 40</t>
        </is>
      </c>
      <c r="C26" s="9" t="inlineStr">
        <is>
          <t>Cosmétique et beauté</t>
        </is>
      </c>
      <c r="D26" s="9" t="inlineStr">
        <is>
          <t>logotype seul</t>
        </is>
      </c>
      <c r="E26" s="9" t="inlineStr">
        <is>
          <t>Nom « L'ORÉAL » en capitales à empattements, noir.</t>
        </is>
      </c>
      <c r="F26" s="9" t="inlineStr">
        <is>
          <t>Non trouvé dans les sources publiques</t>
        </is>
      </c>
      <c r="G26" s="27" t="inlineStr">
        <is>
          <t>#000000</t>
        </is>
      </c>
      <c r="H26" s="9" t="inlineStr">
        <is>
          <t>Non trouvé dans les sources publiques</t>
        </is>
      </c>
      <c r="I26" s="9" t="inlineStr">
        <is>
          <t>We create the beauty that moves the world (bio des comptes corporate X et Instagram)</t>
        </is>
      </c>
      <c r="J26" s="9" t="inlineStr">
        <is>
          <t>Créer la beauté qui fait avancer le monde</t>
        </is>
      </c>
      <c r="K26" s="9" t="inlineStr">
        <is>
          <t>Non trouvé dans les sources publiques</t>
        </is>
      </c>
      <c r="L26" s="9" t="inlineStr">
        <is>
          <t>assuré, inspirant, institutionnel</t>
        </is>
      </c>
      <c r="M26" s="9" t="inlineStr">
        <is>
          <t>maison de marques : L'Oréal Groupe porte 37 marques internationales (ex. Lancôme, La Roche-Posay)</t>
        </is>
      </c>
      <c r="N26" s="9" t="inlineStr">
        <is>
          <t>relevé dans le fichier SVG du logo (Wikimedia Commons) : aucune couleur déclarée, rendu noir par défaut</t>
        </is>
      </c>
    </row>
    <row r="27">
      <c r="A27" s="4" t="inlineStr">
        <is>
          <t>LVMH</t>
        </is>
      </c>
      <c r="B27" s="6" t="inlineStr">
        <is>
          <t>CAC 40</t>
        </is>
      </c>
      <c r="C27" s="6" t="inlineStr">
        <is>
          <t>Luxe (mode, vins et spiritueux, parfums, joaillerie)</t>
        </is>
      </c>
      <c r="D27" s="6" t="inlineStr">
        <is>
          <t>logotype seul</t>
        </is>
      </c>
      <c r="E27" s="6" t="inlineStr">
        <is>
          <t>Sigle « LVMH » en capitales à empattements noires, accompagné du nom développé Moët Hennessy Louis Vuitton.</t>
        </is>
      </c>
      <c r="F27" s="6" t="inlineStr">
        <is>
          <t>Non trouvé dans les sources publiques</t>
        </is>
      </c>
      <c r="G27" s="27" t="inlineStr">
        <is>
          <t>#000000</t>
        </is>
      </c>
      <c r="H27" s="6" t="inlineStr">
        <is>
          <t>Non trouvé dans les sources publiques</t>
        </is>
      </c>
      <c r="I27" s="6" t="inlineStr">
        <is>
          <t>Non trouvé dans les sources publiques</t>
        </is>
      </c>
      <c r="J27" s="6" t="inlineStr">
        <is>
          <t>Non trouvé dans les sources publiques</t>
        </is>
      </c>
      <c r="K27" s="6" t="inlineStr">
        <is>
          <t>Non trouvé dans les sources publiques</t>
        </is>
      </c>
      <c r="L27" s="6" t="inlineStr">
        <is>
          <t>prestigieux, patrimonial, retenu</t>
        </is>
      </c>
      <c r="M27" s="6" t="inlineStr">
        <is>
          <t>maison de marques : 75 Maisons autonomes (ex. Louis Vuitton, Dior, Moët &amp; Chandon)</t>
        </is>
      </c>
      <c r="N27" s="6" t="inlineStr">
        <is>
          <t>relevé dans le fichier SVG du logo (Wikimedia Commons, source indiquée : l'entreprise), le 24/10/2026</t>
        </is>
      </c>
    </row>
    <row r="28">
      <c r="A28" s="7" t="inlineStr">
        <is>
          <t>Michelin</t>
        </is>
      </c>
      <c r="B28" s="9" t="inlineStr">
        <is>
          <t>CAC 40</t>
        </is>
      </c>
      <c r="C28" s="9" t="inlineStr">
        <is>
          <t>Pneumatiques et matériaux composites</t>
        </is>
      </c>
      <c r="D28" s="9" t="inlineStr">
        <is>
          <t>symbole + logotype</t>
        </is>
      </c>
      <c r="E28" s="9" t="inlineStr">
        <is>
          <t>Nom « MICHELIN » en capitales italiques sur fond bleu, avec le personnage Bibendum.</t>
        </is>
      </c>
      <c r="F28" s="9" t="inlineStr">
        <is>
          <t>2017 : version actuelle du logo (fichier Wikimedia daté 2017) ; la précédente identité « Michelin Black » datait de 1997.</t>
        </is>
      </c>
      <c r="G28" s="33" t="inlineStr">
        <is>
          <t>#27509b ; #ffffff</t>
        </is>
      </c>
      <c r="H28" s="9" t="inlineStr">
        <is>
          <t>Noto Sans (police officielle selon le design system Michelin)</t>
        </is>
      </c>
      <c r="I28" s="9" t="inlineStr">
        <is>
          <t>Non trouvé dans les sources publiques</t>
        </is>
      </c>
      <c r="J28" s="9" t="inlineStr">
        <is>
          <t>Offrir à chacun une meilleure façon d'avancer</t>
        </is>
      </c>
      <c r="K28" s="9" t="inlineStr">
        <is>
          <t>Non trouvé dans les sources publiques</t>
        </is>
      </c>
      <c r="L28" s="9" t="inlineStr">
        <is>
          <t>humaniste, technique, optimiste</t>
        </is>
      </c>
      <c r="M28" s="9" t="inlineStr">
        <is>
          <t>marque monolithique forte avec marques déclinées (ex. Guide MICHELIN, MICHELIN Business Solutions)</t>
        </is>
      </c>
      <c r="N28" s="9" t="inlineStr">
        <is>
          <t>relevé dans le fichier SVG du logo (Wikimedia Commons, source indiquée : l'entreprise), le 24/10/2026</t>
        </is>
      </c>
    </row>
    <row r="29">
      <c r="A29" s="4" t="inlineStr">
        <is>
          <t>Orange</t>
        </is>
      </c>
      <c r="B29" s="6" t="inlineStr">
        <is>
          <t>CAC 40</t>
        </is>
      </c>
      <c r="C29" s="6" t="inlineStr">
        <is>
          <t>Télécommunications</t>
        </is>
      </c>
      <c r="D29" s="6" t="inlineStr">
        <is>
          <t>symbole + logotype</t>
        </is>
      </c>
      <c r="E29" s="6" t="inlineStr">
        <is>
          <t>Carré orange contenant le mot « orange » en minuscules blanches.</t>
        </is>
      </c>
      <c r="F29" s="6" t="inlineStr">
        <is>
          <t>2015 : rafraîchissement de l'identité visuelle par Wolff Olins, 20 ans après la création de la marque.</t>
        </is>
      </c>
      <c r="G29" s="34" t="inlineStr">
        <is>
          <t>#ff7900 ; #ffffff</t>
        </is>
      </c>
      <c r="H29" s="6" t="inlineStr">
        <is>
          <t>Helvetica Neue (police principale imposée par les règles de marque publiées)</t>
        </is>
      </c>
      <c r="I29" s="6" t="inlineStr">
        <is>
          <t>Orange is here</t>
        </is>
      </c>
      <c r="J29" s="6" t="inlineStr">
        <is>
          <t>Orange est l'acteur de confiance qui donne à chacune et à chacun les clés d'un monde numérique responsable.</t>
        </is>
      </c>
      <c r="K29" s="6" t="inlineStr">
        <is>
          <t>Non trouvé dans les sources publiques</t>
        </is>
      </c>
      <c r="L29" s="6" t="inlineStr">
        <is>
          <t>accessible, rassurant, direct</t>
        </is>
      </c>
      <c r="M29" s="6" t="inlineStr">
        <is>
          <t>monolithique avec quelques marques filles (ex. Sosh)</t>
        </is>
      </c>
      <c r="N29" s="6" t="inlineStr">
        <is>
          <t>relevé dans le fichier SVG du logo (Wikimedia Commons, source indiquée : l'entreprise), le 24/10/2026</t>
        </is>
      </c>
    </row>
    <row r="30">
      <c r="A30" s="7" t="inlineStr">
        <is>
          <t>Pernod Ricard</t>
        </is>
      </c>
      <c r="B30" s="9" t="inlineStr">
        <is>
          <t>CAC 40</t>
        </is>
      </c>
      <c r="C30" s="9" t="inlineStr">
        <is>
          <t>Vins et spiritueux</t>
        </is>
      </c>
      <c r="D30" s="9" t="inlineStr">
        <is>
          <t>symbole + logotype</t>
        </is>
      </c>
      <c r="E30" s="9" t="inlineStr">
        <is>
          <t>Emblème soleil rayonnant bleu associé au nom « Pernod Ricard ».</t>
        </is>
      </c>
      <c r="F30" s="9" t="inlineStr">
        <is>
          <t>2019 : version actuelle du logo (fichier Wikimedia « Pernod Ricard logo 2019 »).</t>
        </is>
      </c>
      <c r="G30" s="35" t="inlineStr">
        <is>
          <t>#123f75 ; #76a0cd</t>
        </is>
      </c>
      <c r="H30" s="9" t="inlineStr">
        <is>
          <t>Non trouvé dans les sources publiques</t>
        </is>
      </c>
      <c r="I30" s="9" t="inlineStr">
        <is>
          <t>Créateurs de convivialité</t>
        </is>
      </c>
      <c r="J30" s="9" t="inlineStr">
        <is>
          <t>As "créateurs de convivialité" our purpose is to turn every social interaction into a genuine, friendly and responsible experience of sharing. (version anglaise du site)</t>
        </is>
      </c>
      <c r="K30" s="9" t="inlineStr">
        <is>
          <t>Grounded in the real ; Fiercely authentic ; Connected beyond borders ; Passion for challenge (libellé tronqué à la lecture)</t>
        </is>
      </c>
      <c r="L30" s="9" t="inlineStr">
        <is>
          <t>chaleureux, convivial, responsable</t>
        </is>
      </c>
      <c r="M30" s="9" t="inlineStr">
        <is>
          <t>maison de marques : 240 marques premium (ex. Ricard, Absolut)</t>
        </is>
      </c>
      <c r="N30" s="9" t="inlineStr">
        <is>
          <t>relevé dans le fichier SVG du logo (Wikimedia Commons, source indiquée : l'entreprise), le 24/10/2026</t>
        </is>
      </c>
    </row>
    <row r="31">
      <c r="A31" s="4" t="inlineStr">
        <is>
          <t>Publicis Groupe</t>
        </is>
      </c>
      <c r="B31" s="6" t="inlineStr">
        <is>
          <t>CAC 40</t>
        </is>
      </c>
      <c r="C31" s="6" t="inlineStr">
        <is>
          <t>Communication, publicité et transformation digitale</t>
        </is>
      </c>
      <c r="D31" s="6" t="inlineStr">
        <is>
          <t>symbole + logotype</t>
        </is>
      </c>
      <c r="E31" s="6" t="inlineStr">
        <is>
          <t>Tête de lion stylisée associée au nom « PUBLICIS ».</t>
        </is>
      </c>
      <c r="F31" s="6" t="inlineStr">
        <is>
          <t>Non trouvé dans les sources publiques</t>
        </is>
      </c>
      <c r="G31" s="36" t="inlineStr">
        <is>
          <t>#212129 ; #E7E7E7</t>
        </is>
      </c>
      <c r="H31" s="6" t="inlineStr">
        <is>
          <t>ITC New Baskerville Roman et Gotham Narrow (kit média)</t>
        </is>
      </c>
      <c r="I31" s="6" t="inlineStr">
        <is>
          <t>Viva la Différence</t>
        </is>
      </c>
      <c r="J31" s="6" t="inlineStr">
        <is>
          <t>Non trouvé dans les sources publiques</t>
        </is>
      </c>
      <c r="K31" s="6" t="inlineStr">
        <is>
          <t>Viva la Différence (devise)</t>
        </is>
      </c>
      <c r="L31" s="6" t="inlineStr">
        <is>
          <t>ambitieux, conquérant, tourné vers l'IA</t>
        </is>
      </c>
      <c r="M31" s="6" t="inlineStr">
        <is>
          <t>maison de marques : agences et plateformes (ex. Leo, Publicis Sapient, Marcel)</t>
        </is>
      </c>
      <c r="N31" s="6" t="inlineStr">
        <is>
          <t>charte publiée (kit média publicisgroupe.com) ; hex du Gold tronqué à la lecture</t>
        </is>
      </c>
    </row>
    <row r="32">
      <c r="A32" s="7" t="inlineStr">
        <is>
          <t>Renault Group</t>
        </is>
      </c>
      <c r="B32" s="9" t="inlineStr">
        <is>
          <t>CAC 40</t>
        </is>
      </c>
      <c r="C32" s="9" t="inlineStr">
        <is>
          <t>Automobile</t>
        </is>
      </c>
      <c r="D32" s="9" t="inlineStr">
        <is>
          <t>logotype + emblème</t>
        </is>
      </c>
      <c r="E32" s="9" t="inlineStr">
        <is>
          <t>Typogramme en minuscules « renault group » ; un emblème dédié existe pour des usages spécifiques.</t>
        </is>
      </c>
      <c r="F32" s="9" t="inlineStr">
        <is>
          <t>2021 : nouvelle identité et nouveau logo dévoilés le 23 avril 2021 avec la raison d'être.</t>
        </is>
      </c>
      <c r="G32" s="9" t="inlineStr">
        <is>
          <t>Noir</t>
        </is>
      </c>
      <c r="H32" s="9" t="inlineStr">
        <is>
          <t>Non trouvé dans les sources publiques</t>
        </is>
      </c>
      <c r="I32" s="9" t="inlineStr">
        <is>
          <t>Non trouvé dans les sources publiques</t>
        </is>
      </c>
      <c r="J32" s="9" t="inlineStr">
        <is>
          <t>Nous faisons battre le cœur de l'innovation pour que la mobilité nous rapproche les uns des autres.</t>
        </is>
      </c>
      <c r="K32" s="9" t="inlineStr">
        <is>
          <t>Non trouvé dans les sources publiques</t>
        </is>
      </c>
      <c r="L32" s="9" t="inlineStr">
        <is>
          <t>dynamique, industriel, pédagogue</t>
        </is>
      </c>
      <c r="M32" s="9" t="inlineStr">
        <is>
          <t>maison de marques : Renault, Dacia, Alpine (et Mobilize)</t>
        </is>
      </c>
      <c r="N32" s="9" t="inlineStr">
        <is>
          <t>aucune couleur déclarée dans le SVG Wikimedia</t>
        </is>
      </c>
    </row>
    <row r="33">
      <c r="A33" s="4" t="inlineStr">
        <is>
          <t>Safran</t>
        </is>
      </c>
      <c r="B33" s="6" t="inlineStr">
        <is>
          <t>CAC 40</t>
        </is>
      </c>
      <c r="C33" s="6" t="inlineStr">
        <is>
          <t>Aéronautique, défense et espace</t>
        </is>
      </c>
      <c r="D33" s="6" t="inlineStr">
        <is>
          <t>symbole + logotype</t>
        </is>
      </c>
      <c r="E33" s="6" t="inlineStr">
        <is>
          <t>Emblème en dégradé de bleus associé au nom « SAFRAN ».</t>
        </is>
      </c>
      <c r="F33" s="6" t="inlineStr">
        <is>
          <t>2016 : toutes les sociétés du groupe passent sous la marque et le logo uniques Safran (emblème redessiné en 2010).</t>
        </is>
      </c>
      <c r="G33" s="37" t="inlineStr">
        <is>
          <t>#0056a4 ; #84cfeb ; #4096ce</t>
        </is>
      </c>
      <c r="H33" s="6" t="inlineStr">
        <is>
          <t>Non trouvé dans les sources publiques</t>
        </is>
      </c>
      <c r="I33" s="6" t="inlineStr">
        <is>
          <t>Non trouvé dans les sources publiques</t>
        </is>
      </c>
      <c r="J33" s="6" t="inlineStr">
        <is>
          <t>Grâce à l'engagement de ses collaborateurs, grâce à l'innovation et à l'excellence opérationnelle, Safran invente, fabrique et soutient en service des solutions de haute technologie pour contribuer durablement à un monde plus sûr, où le transport aérien devient toujours plus respectueux de l'environnement, plus confortable et plus accessible. […]</t>
        </is>
      </c>
      <c r="K33" s="6" t="inlineStr">
        <is>
          <t>Réussir ensemble ; Favoriser un environnement de confiance ; Oser innover</t>
        </is>
      </c>
      <c r="L33" s="6" t="inlineStr">
        <is>
          <t>technique, souverain, sobre</t>
        </is>
      </c>
      <c r="M33" s="6" t="inlineStr">
        <is>
          <t>monolithique : marque unique Safran (ex. Safran Seats, Safran Nacelles)</t>
        </is>
      </c>
      <c r="N33" s="6" t="inlineStr">
        <is>
          <t>relevé dans le fichier SVG du logo (Wikimedia Commons, source indiquée : l'entreprise), le 24/10/2026</t>
        </is>
      </c>
    </row>
    <row r="34">
      <c r="A34" s="7" t="inlineStr">
        <is>
          <t>Saint-Gobain</t>
        </is>
      </c>
      <c r="B34" s="9" t="inlineStr">
        <is>
          <t>CAC 40</t>
        </is>
      </c>
      <c r="C34" s="9" t="inlineStr">
        <is>
          <t>Matériaux et solutions de construction durable</t>
        </is>
      </c>
      <c r="D34" s="9" t="inlineStr">
        <is>
          <t>logotype + motif</t>
        </is>
      </c>
      <c r="E34" s="9" t="inlineStr">
        <is>
          <t>Nom « SAINT-GOBAIN » en bleu surmonté d'une « skyline » colorée reprenant l'arche du pont de Pont-à-Mousson.</t>
        </is>
      </c>
      <c r="F34" s="9" t="inlineStr">
        <is>
          <t>2016 : nouveau logotype dévoilé à l'Assemblée générale du 2 juin 2016.</t>
        </is>
      </c>
      <c r="G34" s="38" t="inlineStr">
        <is>
          <t>#254a9a ; #54b6ae ; #f25c19 ; #3b98da ; #ed1443</t>
        </is>
      </c>
      <c r="H34" s="9" t="inlineStr">
        <is>
          <t>Non trouvé dans les sources publiques</t>
        </is>
      </c>
      <c r="I34" s="9" t="inlineStr">
        <is>
          <t>Non trouvé dans les sources publiques</t>
        </is>
      </c>
      <c r="J34" s="9" t="inlineStr">
        <is>
          <t>Making the world a better home</t>
        </is>
      </c>
      <c r="K34" s="9" t="inlineStr">
        <is>
          <t>Non trouvé dans les sources publiques</t>
        </is>
      </c>
      <c r="L34" s="9" t="inlineStr">
        <is>
          <t>engagé, constructif, international</t>
        </is>
      </c>
      <c r="M34" s="9" t="inlineStr">
        <is>
          <t>mixte : marque groupe + marques commerciales (ex. Placo, Isover)</t>
        </is>
      </c>
      <c r="N34" s="9" t="inlineStr">
        <is>
          <t>relevé dans le fichier SVG du logo (Wikimedia Commons, source indiquée : l'entreprise), le 24/10/2026</t>
        </is>
      </c>
    </row>
    <row r="35">
      <c r="A35" s="4" t="inlineStr">
        <is>
          <t>Sanofi</t>
        </is>
      </c>
      <c r="B35" s="6" t="inlineStr">
        <is>
          <t>CAC 40</t>
        </is>
      </c>
      <c r="C35" s="6" t="inlineStr">
        <is>
          <t>Pharmacie et biotechnologies</t>
        </is>
      </c>
      <c r="D35" s="6" t="inlineStr">
        <is>
          <t>logotype seul</t>
        </is>
      </c>
      <c r="E35" s="6" t="inlineStr">
        <is>
          <t>Nom « sanofi » en minuscules noires avec deux points violets.</t>
        </is>
      </c>
      <c r="F35" s="6" t="inlineStr">
        <is>
          <t>2022 : nouvelle marque corporate unique (3 février 2022), conçue par FutureBrand Paris.</t>
        </is>
      </c>
      <c r="G35" s="39" t="inlineStr">
        <is>
          <t>#7a00e6 ; #000000</t>
        </is>
      </c>
      <c r="H35" s="6" t="inlineStr">
        <is>
          <t>Non trouvé dans les sources publiques</t>
        </is>
      </c>
      <c r="I35" s="6" t="inlineStr">
        <is>
          <t>Non trouvé dans les sources publiques</t>
        </is>
      </c>
      <c r="J35" s="6" t="inlineStr">
        <is>
          <t>Nous poursuivons les miracles de la science pour améliorer la vie des gens.</t>
        </is>
      </c>
      <c r="K35" s="6" t="inlineStr">
        <is>
          <t>Non trouvé dans les sources publiques</t>
        </is>
      </c>
      <c r="L35" s="6" t="inlineStr">
        <is>
          <t>scientifique, humain, ambitieux</t>
        </is>
      </c>
      <c r="M35" s="6" t="inlineStr">
        <is>
          <t>monolithique : « One Sanofi, one identity » (fin des marques Sanofi Pasteur et Sanofi Genzyme)</t>
        </is>
      </c>
      <c r="N35" s="6" t="inlineStr">
        <is>
          <t>relevé dans le fichier SVG du logo (Wikimedia Commons, source indiquée : l'entreprise), le 24/10/2026</t>
        </is>
      </c>
    </row>
    <row r="36">
      <c r="A36" s="7" t="inlineStr">
        <is>
          <t>Schneider Electric</t>
        </is>
      </c>
      <c r="B36" s="9" t="inlineStr">
        <is>
          <t>CAC 40</t>
        </is>
      </c>
      <c r="C36" s="9" t="inlineStr">
        <is>
          <t>Gestion de l'énergie et automatismes</t>
        </is>
      </c>
      <c r="D36" s="9" t="inlineStr">
        <is>
          <t>logotype seul</t>
        </is>
      </c>
      <c r="E36" s="9" t="inlineStr">
        <is>
          <t>Nom « Schneider Electric » en vert, avec la signature Life Is On.</t>
        </is>
      </c>
      <c r="F36" s="9" t="inlineStr">
        <is>
          <t>2007 : date du logo actuel selon le fichier Wikimedia (non confirmé par une source primaire).</t>
        </is>
      </c>
      <c r="G36" s="40" t="inlineStr">
        <is>
          <t>#009e4d</t>
        </is>
      </c>
      <c r="H36" s="9" t="inlineStr">
        <is>
          <t>Non trouvé dans les sources publiques</t>
        </is>
      </c>
      <c r="I36" s="9" t="inlineStr">
        <is>
          <t>Life Is On</t>
        </is>
      </c>
      <c r="J36" s="9" t="inlineStr">
        <is>
          <t>Créer un Impact en permettant à chacun de tirer le meilleur de son énergie et de ses ressources, afin de concilier progrès et développement durable.</t>
        </is>
      </c>
      <c r="K36" s="9" t="inlineStr">
        <is>
          <t>Non trouvé dans les sources publiques</t>
        </is>
      </c>
      <c r="L36" s="9" t="inlineStr">
        <is>
          <t>expert, positif, durable</t>
        </is>
      </c>
      <c r="M36" s="9" t="inlineStr">
        <is>
          <t>monolithique avec marques produits (ex. APC)</t>
        </is>
      </c>
      <c r="N36" s="9" t="inlineStr">
        <is>
          <t>relevé dans le fichier SVG du logo (Wikimedia Commons, source indiquée : l'entreprise), le 24/10/2026</t>
        </is>
      </c>
    </row>
    <row r="37">
      <c r="A37" s="4" t="inlineStr">
        <is>
          <t>Société Générale</t>
        </is>
      </c>
      <c r="B37" s="6" t="inlineStr">
        <is>
          <t>CAC 40</t>
        </is>
      </c>
      <c r="C37" s="6" t="inlineStr">
        <is>
          <t>Banque</t>
        </is>
      </c>
      <c r="D37" s="6" t="inlineStr">
        <is>
          <t>symbole + logotype</t>
        </is>
      </c>
      <c r="E37" s="6" t="inlineStr">
        <is>
          <t>Carré rouge et noir séparé par une bande blanche, associé au nom « SOCIETE GENERALE ».</t>
        </is>
      </c>
      <c r="F37" s="6" t="inlineStr">
        <is>
          <t>2023 : la banque de détail France prend le nom de marque SG après la fusion avec Crédit du Nord.</t>
        </is>
      </c>
      <c r="G37" s="41" t="inlineStr">
        <is>
          <t>#e60028 ; #ffffff</t>
        </is>
      </c>
      <c r="H37" s="6" t="inlineStr">
        <is>
          <t>Non trouvé dans les sources publiques</t>
        </is>
      </c>
      <c r="I37" s="6" t="inlineStr">
        <is>
          <t>C'est vous l'avenir</t>
        </is>
      </c>
      <c r="J37" s="6" t="inlineStr">
        <is>
          <t>Construire ensemble, avec nos clients, un avenir meilleur et durable en apportant des solutions financières responsables et innovantes.</t>
        </is>
      </c>
      <c r="K37" s="6" t="inlineStr">
        <is>
          <t>Non trouvé dans les sources publiques</t>
        </is>
      </c>
      <c r="L37" s="6" t="inlineStr">
        <is>
          <t>institutionnel, sérieux, tourné vers l'avenir</t>
        </is>
      </c>
      <c r="M37" s="6" t="inlineStr">
        <is>
          <t>mixte : marque groupe + marques (SG, Boursobank…)</t>
        </is>
      </c>
      <c r="N37" s="6" t="inlineStr">
        <is>
          <t>relevé dans le fichier SVG du logo (Wikimedia Commons, source indiquée : l'entreprise), le 24/10/2026</t>
        </is>
      </c>
    </row>
    <row r="38">
      <c r="A38" s="7" t="inlineStr">
        <is>
          <t>Stellantis</t>
        </is>
      </c>
      <c r="B38" s="9" t="inlineStr">
        <is>
          <t>CAC 40</t>
        </is>
      </c>
      <c r="C38" s="9" t="inlineStr">
        <is>
          <t>Automobile</t>
        </is>
      </c>
      <c r="D38" s="9" t="inlineStr">
        <is>
          <t>logotype seul</t>
        </is>
      </c>
      <c r="E38" s="9" t="inlineStr">
        <is>
          <t>Nom « STELLANTIS » en capitales bleues au dessin stylisé (A sans barre).</t>
        </is>
      </c>
      <c r="F38" s="9" t="inlineStr">
        <is>
          <t>2020 : logo révélé le 9 novembre 2020 avant la fusion PSA-FCA.</t>
        </is>
      </c>
      <c r="G38" s="42" t="inlineStr">
        <is>
          <t>#243882</t>
        </is>
      </c>
      <c r="H38" s="9" t="inlineStr">
        <is>
          <t>Non trouvé dans les sources publiques</t>
        </is>
      </c>
      <c r="I38" s="9" t="inlineStr">
        <is>
          <t>Non trouvé dans les sources publiques</t>
        </is>
      </c>
      <c r="J38" s="9" t="inlineStr">
        <is>
          <t>Powered by our diversity, we lead the way the world moves</t>
        </is>
      </c>
      <c r="K38" s="9" t="inlineStr">
        <is>
          <t>Non trouvé dans les sources publiques</t>
        </is>
      </c>
      <c r="L38" s="9" t="inlineStr">
        <is>
          <t>corporate, international, sobre</t>
        </is>
      </c>
      <c r="M38" s="9" t="inlineStr">
        <is>
          <t>maison de marques : 14 marques (ex. Peugeot, Fiat, Jeep)</t>
        </is>
      </c>
      <c r="N38" s="9" t="inlineStr">
        <is>
          <t>relevé dans le fichier SVG du logo (Wikimedia Commons, source indiquée : l'entreprise), le 24/10/2026</t>
        </is>
      </c>
    </row>
    <row r="39">
      <c r="A39" s="4" t="inlineStr">
        <is>
          <t>STMicroelectronics</t>
        </is>
      </c>
      <c r="B39" s="6" t="inlineStr">
        <is>
          <t>CAC 40</t>
        </is>
      </c>
      <c r="C39" s="6" t="inlineStr">
        <is>
          <t>Semi-conducteurs</t>
        </is>
      </c>
      <c r="D39" s="6" t="inlineStr">
        <is>
          <t>monogramme</t>
        </is>
      </c>
      <c r="E39" s="6" t="inlineStr">
        <is>
          <t>Monogramme « ST » stylisé bleu nuit.</t>
        </is>
      </c>
      <c r="F39" s="6" t="inlineStr">
        <is>
          <t>2020 : logo actuel (fichier Wikimedia daté de mars 2020).</t>
        </is>
      </c>
      <c r="G39" s="43" t="inlineStr">
        <is>
          <t>#03234b</t>
        </is>
      </c>
      <c r="H39" s="6" t="inlineStr">
        <is>
          <t>Non trouvé dans les sources publiques</t>
        </is>
      </c>
      <c r="I39" s="6" t="inlineStr">
        <is>
          <t>We are creators and makers of technology</t>
        </is>
      </c>
      <c r="J39" s="6" t="inlineStr">
        <is>
          <t>Non trouvé dans les sources publiques</t>
        </is>
      </c>
      <c r="K39" s="6" t="inlineStr">
        <is>
          <t>Non trouvé dans les sources publiques</t>
        </is>
      </c>
      <c r="L39" s="6" t="inlineStr">
        <is>
          <t>technique, sobre, international</t>
        </is>
      </c>
      <c r="M39" s="6" t="inlineStr">
        <is>
          <t>monolithique</t>
        </is>
      </c>
      <c r="N39" s="6" t="inlineStr">
        <is>
          <t>relevé dans le fichier SVG du logo (Wikimedia Commons, source indiquée : l'entreprise), le 24/10/2026</t>
        </is>
      </c>
    </row>
    <row r="40">
      <c r="A40" s="7" t="inlineStr">
        <is>
          <t>Thales</t>
        </is>
      </c>
      <c r="B40" s="9" t="inlineStr">
        <is>
          <t>CAC 40</t>
        </is>
      </c>
      <c r="C40" s="9" t="inlineStr">
        <is>
          <t>Défense, aérospatial, cybersécurité et numérique</t>
        </is>
      </c>
      <c r="D40" s="9" t="inlineStr">
        <is>
          <t>logotype seul</t>
        </is>
      </c>
      <c r="E40" s="9" t="inlineStr">
        <is>
          <t>Nom « THALES » en capitales bleu foncé avec un accent turquoise.</t>
        </is>
      </c>
      <c r="F40" s="9" t="inlineStr">
        <is>
          <t>Non trouvé dans les sources publiques</t>
        </is>
      </c>
      <c r="G40" s="44" t="inlineStr">
        <is>
          <t>#2c2f73 ; #5ebfd4</t>
        </is>
      </c>
      <c r="H40" s="9" t="inlineStr">
        <is>
          <t>Non trouvé dans les sources publiques</t>
        </is>
      </c>
      <c r="I40" s="9" t="inlineStr">
        <is>
          <t>Construisons ensemble un avenir de confiance</t>
        </is>
      </c>
      <c r="J40" s="9" t="inlineStr">
        <is>
          <t>Building a future we can all trust</t>
        </is>
      </c>
      <c r="K40" s="9" t="inlineStr">
        <is>
          <t>Non trouvé dans les sources publiques</t>
        </is>
      </c>
      <c r="L40" s="9" t="inlineStr">
        <is>
          <t>rassurant, technologique, institutionnel</t>
        </is>
      </c>
      <c r="M40" s="9" t="inlineStr">
        <is>
          <t>monolithique (ex. Thales Alenia Space en coentreprise)</t>
        </is>
      </c>
      <c r="N40" s="9" t="inlineStr">
        <is>
          <t>relevé dans le fichier SVG du logo (Wikimedia Commons, source indiquée : l'entreprise), le 24/10/2026</t>
        </is>
      </c>
    </row>
    <row r="41">
      <c r="A41" s="4" t="inlineStr">
        <is>
          <t>TotalEnergies</t>
        </is>
      </c>
      <c r="B41" s="6" t="inlineStr">
        <is>
          <t>CAC 40</t>
        </is>
      </c>
      <c r="C41" s="6" t="inlineStr">
        <is>
          <t>Énergie (pétrole, gaz, électricité, renouvelables)</t>
        </is>
      </c>
      <c r="D41" s="6" t="inlineStr">
        <is>
          <t>symbole + logotype</t>
        </is>
      </c>
      <c r="E41" s="6" t="inlineStr">
        <is>
          <t>Symbole circulaire en dégradé multicolore associé au nom « TotalEnergies ».</t>
        </is>
      </c>
      <c r="F41" s="6" t="inlineStr">
        <is>
          <t>2021 : changement de nom et nouvelle identité le 28 mai 2021, logo conçu par Carré Noir.</t>
        </is>
      </c>
      <c r="G41" s="45" t="inlineStr">
        <is>
          <t>#fc0103 ; #0186f5 ; #3156fd ; #8434d5 ; #35c2b0</t>
        </is>
      </c>
      <c r="H41" s="6" t="inlineStr">
        <is>
          <t>Non trouvé dans les sources publiques</t>
        </is>
      </c>
      <c r="I41" s="6" t="inlineStr">
        <is>
          <t>Non trouvé dans les sources publiques</t>
        </is>
      </c>
      <c r="J41" s="6" t="inlineStr">
        <is>
          <t>Fournir au plus grand nombre une énergie plus abordable, plus disponible et plus durable.</t>
        </is>
      </c>
      <c r="K41" s="6" t="inlineStr">
        <is>
          <t>Non trouvé dans les sources publiques</t>
        </is>
      </c>
      <c r="L41" s="6" t="inlineStr">
        <is>
          <t>affirmé, factuel, combatif</t>
        </is>
      </c>
      <c r="M41" s="6" t="inlineStr">
        <is>
          <t>monolithique (marque TotalEnergies, gammes produits ex. Excellium)</t>
        </is>
      </c>
      <c r="N41" s="6" t="inlineStr">
        <is>
          <t>relevé dans le fichier SVG du logo (Wikimedia Commons, source indiquée : l'entreprise), le 24/10/2026</t>
        </is>
      </c>
    </row>
    <row r="42">
      <c r="A42" s="7" t="inlineStr">
        <is>
          <t>Unibail-Rodamco-Westfield</t>
        </is>
      </c>
      <c r="B42" s="9" t="inlineStr">
        <is>
          <t>CAC 40</t>
        </is>
      </c>
      <c r="C42" s="9" t="inlineStr">
        <is>
          <t>Immobilier commercial (centres commerciaux)</t>
        </is>
      </c>
      <c r="D42" s="9" t="inlineStr">
        <is>
          <t>logotype seul</t>
        </is>
      </c>
      <c r="E42" s="9" t="inlineStr">
        <is>
          <t>Nom « UNIBAIL-RODAMCO-WESTFIELD » en gris anthracite avec un élément rouge.</t>
        </is>
      </c>
      <c r="F42" s="9" t="inlineStr">
        <is>
          <t>2018 : nouveau logo à la création d'URW après l'acquisition de Westfield (logo Unibail-Rodamco utilisé jusqu'en 2018).</t>
        </is>
      </c>
      <c r="G42" s="46" t="inlineStr">
        <is>
          <t>#3b3836 ; #e1251b</t>
        </is>
      </c>
      <c r="H42" s="9" t="inlineStr">
        <is>
          <t>Non trouvé dans les sources publiques</t>
        </is>
      </c>
      <c r="I42" s="9" t="inlineStr">
        <is>
          <t>Non trouvé dans les sources publiques</t>
        </is>
      </c>
      <c r="J42" s="9" t="inlineStr">
        <is>
          <t>Reinvent Being Together</t>
        </is>
      </c>
      <c r="K42" s="9" t="inlineStr">
        <is>
          <t>Non trouvé dans les sources publiques</t>
        </is>
      </c>
      <c r="L42" s="9" t="inlineStr">
        <is>
          <t>corporate, urbain, inclusif</t>
        </is>
      </c>
      <c r="M42" s="9" t="inlineStr">
        <is>
          <t>mixte : groupe URW + marque commerciale Westfield</t>
        </is>
      </c>
      <c r="N42" s="9" t="inlineStr">
        <is>
          <t>relevé dans le fichier SVG du logo (Wikimedia Commons, source indiquée : l'entreprise), le 24/10/2026</t>
        </is>
      </c>
    </row>
    <row r="43">
      <c r="A43" s="4" t="inlineStr">
        <is>
          <t>Veolia</t>
        </is>
      </c>
      <c r="B43" s="6" t="inlineStr">
        <is>
          <t>CAC 40</t>
        </is>
      </c>
      <c r="C43" s="6" t="inlineStr">
        <is>
          <t>Services à l'environnement (eau, déchets, énergie)</t>
        </is>
      </c>
      <c r="D43" s="6" t="inlineStr">
        <is>
          <t>logotype + symbole</t>
        </is>
      </c>
      <c r="E43" s="6" t="inlineStr">
        <is>
          <t>Nom « VEOLIA » en gris avec un élément rouge.</t>
        </is>
      </c>
      <c r="F43" s="6" t="inlineStr">
        <is>
          <t>Non trouvé dans les sources publiques</t>
        </is>
      </c>
      <c r="G43" s="32" t="inlineStr">
        <is>
          <t>#ed1c24 ; #666666</t>
        </is>
      </c>
      <c r="H43" s="6" t="inlineStr">
        <is>
          <t>Non trouvé dans les sources publiques</t>
        </is>
      </c>
      <c r="I43" s="6" t="inlineStr">
        <is>
          <t>Resourcing the world (signature adoptée en avril 2014)</t>
        </is>
      </c>
      <c r="J43" s="6" t="inlineStr">
        <is>
          <t>La raison d'être de Veolia est de contribuer au progrès humain, en s'inscrivant résolument dans les Objectifs de développement durable définis par l'ONU, afin de parvenir à un avenir meilleur et plus […] (citation tronquée à la lecture)</t>
        </is>
      </c>
      <c r="K43" s="6" t="inlineStr">
        <is>
          <t>Non trouvé dans les sources publiques</t>
        </is>
      </c>
      <c r="L43" s="6" t="inlineStr">
        <is>
          <t>engagé, pédagogique, militant de la transformation écologique</t>
        </is>
      </c>
      <c r="M43" s="6" t="inlineStr">
        <is>
          <t>monolithique (filiales sous la marque Veolia)</t>
        </is>
      </c>
      <c r="N43" s="6" t="inlineStr">
        <is>
          <t>relevé dans le fichier SVG du logo (Wikimedia Commons, source indiquée : l'entreprise), le 24/10/2026</t>
        </is>
      </c>
    </row>
    <row r="44">
      <c r="A44" s="7" t="inlineStr">
        <is>
          <t>Vinci</t>
        </is>
      </c>
      <c r="B44" s="9" t="inlineStr">
        <is>
          <t>CAC 40</t>
        </is>
      </c>
      <c r="C44" s="9" t="inlineStr">
        <is>
          <t>Concessions, énergie et construction</t>
        </is>
      </c>
      <c r="D44" s="9" t="inlineStr">
        <is>
          <t>symbole + logotype</t>
        </is>
      </c>
      <c r="E44" s="9" t="inlineStr">
        <is>
          <t>Nom « VINCI » en bleu accompagné de deux « connecteurs » rouges inspirés des agrafes des bâtisseurs de cathédrales.</t>
        </is>
      </c>
      <c r="F44" s="9" t="inlineStr">
        <is>
          <t>2000 : logo aux connecteurs introduit à la création de VINCI (conçu par l'agence Seenk).</t>
        </is>
      </c>
      <c r="G44" s="47" t="inlineStr">
        <is>
          <t>#eb172b ; #19458f</t>
        </is>
      </c>
      <c r="H44" s="9" t="inlineStr">
        <is>
          <t>Non trouvé dans les sources publiques</t>
        </is>
      </c>
      <c r="I44" s="9" t="inlineStr">
        <is>
          <t>Forging a sustainable world (titre des Essentials 2026)</t>
        </is>
      </c>
      <c r="J44" s="9" t="inlineStr">
        <is>
          <t>Non trouvé dans les sources publiques</t>
        </is>
      </c>
      <c r="K44" s="9" t="inlineStr">
        <is>
          <t>Non trouvé dans les sources publiques</t>
        </is>
      </c>
      <c r="L44" s="9" t="inlineStr">
        <is>
          <t>institutionnel, constructif, factuel</t>
        </is>
      </c>
      <c r="M44" s="9" t="inlineStr">
        <is>
          <t>mixte : groupe + pôles et marques (ex. VINCI Autoroutes, VINCI Airports, Cobra)</t>
        </is>
      </c>
      <c r="N44" s="9" t="inlineStr">
        <is>
          <t>relevé dans le fichier SVG du logo (Wikimedia Commons, source indiquée : l'entreprise), le 24/10/2026</t>
        </is>
      </c>
    </row>
    <row r="45">
      <c r="A45" s="4" t="inlineStr">
        <is>
          <t>Orange Côte d'Ivoire</t>
        </is>
      </c>
      <c r="B45" s="6" t="inlineStr">
        <is>
          <t>Côte d'Ivoire, entreprise</t>
        </is>
      </c>
      <c r="C45" s="6" t="inlineStr">
        <is>
          <t>Télécommunications et services financiers mobiles (Orange Money) ; le Groupe Orange Côte d'Ivoire (CI, Burkina Faso, Liberia) annonce un chiffre d'affaires de 1 016,5 milliards FCFA en 2023 et plus de 30 millions de clients (site groupe). Sika Finance (oct. 2026) publie un top 10 des entreprises ivoiriennes par CA 2024 (7 129 milliards FCFA cumulés, dominé par la SIR) : rang d'Orange CI non lu (article payant).</t>
        </is>
      </c>
      <c r="D45" s="6" t="inlineStr">
        <is>
          <t>Symbole (carré) + nom</t>
        </is>
      </c>
      <c r="E45" s="6" t="inlineStr">
        <is>
          <t>Carré orange portant le mot « orange » en blanc, logo de la marque mondiale Orange.</t>
        </is>
      </c>
      <c r="F45" s="6" t="inlineStr">
        <is>
          <t>Non trouvé dans les sources publiques</t>
        </is>
      </c>
      <c r="G45" s="34" t="inlineStr">
        <is>
          <t>#FF7900 ; #FFA657 ; #FFC796</t>
        </is>
      </c>
      <c r="H45" s="6" t="inlineStr">
        <is>
          <t>Non trouvé dans les sources publiques</t>
        </is>
      </c>
      <c r="I45" s="6" t="inlineStr">
        <is>
          <t>Orange est là</t>
        </is>
      </c>
      <c r="J45" s="6" t="inlineStr">
        <is>
          <t>Non trouvé dans les sources publiques</t>
        </is>
      </c>
      <c r="K45" s="6" t="inlineStr">
        <is>
          <t>Non trouvé dans les sources publiques</t>
        </is>
      </c>
      <c r="L45" s="6" t="inlineStr">
        <is>
          <t>chaleureux, proche, festif</t>
        </is>
      </c>
      <c r="M45" s="6" t="inlineStr">
        <is>
          <t>Filiale d'un groupe à marque mondiale (Orange SA) ; marque unique déclinée par service (Orange Money, Max it).</t>
        </is>
      </c>
      <c r="N45" s="6" t="inlineStr">
        <is>
          <t>Mesurée sur le logo officiel le 24/10/2026</t>
        </is>
      </c>
    </row>
    <row r="46">
      <c r="A46" s="7" t="inlineStr">
        <is>
          <t>MTN Côte d'Ivoire</t>
        </is>
      </c>
      <c r="B46" s="9" t="inlineStr">
        <is>
          <t>Côte d'Ivoire, entreprise</t>
        </is>
      </c>
      <c r="C46" s="9" t="inlineStr">
        <is>
          <t>Télécommunications et mobile money (MoMo) ; plus de 16 millions d'abonnés et 4,9 millions d'utilisateurs MoMo actifs annoncés aux 20 ans (2025), 17 millions franchis selon APA (avril 2026).</t>
        </is>
      </c>
      <c r="D46" s="9" t="inlineStr">
        <is>
          <t>Nom dans une forme</t>
        </is>
      </c>
      <c r="E46" s="9" t="inlineStr">
        <is>
          <t>Mot « MTN » dans une ellipse, logo de la marque du groupe MTN.</t>
        </is>
      </c>
      <c r="F46" s="9" t="inlineStr">
        <is>
          <t>Non trouvé dans les sources publiques</t>
        </is>
      </c>
      <c r="G46" s="48" t="inlineStr">
        <is>
          <t>#FFCB05 ; #000000</t>
        </is>
      </c>
      <c r="H46" s="9" t="inlineStr">
        <is>
          <t>Non trouvé dans les sources publiques</t>
        </is>
      </c>
      <c r="I46" s="9" t="inlineStr">
        <is>
          <t>Non trouvé dans les sources publiques</t>
        </is>
      </c>
      <c r="J46" s="9" t="inlineStr">
        <is>
          <t>Conviction publiée sur mtn.ci : « Nous pensons que tout le monde mérite de bénéficier des avantages d'une vie moderne et connectée. » (stratégie groupe « Ambition 2025 : Des solutions numériques de premier plan pour le progrès de l'Afrique »)</t>
        </is>
      </c>
      <c r="K46" s="9" t="inlineStr">
        <is>
          <t>Non trouvé dans les sources publiques</t>
        </is>
      </c>
      <c r="L46" s="9" t="inlineStr">
        <is>
          <t>institutionnel, optimiste</t>
        </is>
      </c>
      <c r="M46" s="9" t="inlineStr">
        <is>
          <t>Filiale d'un groupe à marque mondiale/panafricaine (MTN Group, Afrique du Sud).</t>
        </is>
      </c>
      <c r="N46" s="9" t="inlineStr">
        <is>
          <t>Couleur dominante du code du site mtn.ci, relevée le 24/10/2026</t>
        </is>
      </c>
    </row>
    <row r="47">
      <c r="A47" s="4" t="inlineStr">
        <is>
          <t>Moov Africa Côte d'Ivoire</t>
        </is>
      </c>
      <c r="B47" s="6" t="inlineStr">
        <is>
          <t>Côte d'Ivoire, entreprise</t>
        </is>
      </c>
      <c r="C47" s="6" t="inlineStr">
        <is>
          <t>Télécommunications et mobile money (Moov Money) ; présent depuis 2006.</t>
        </is>
      </c>
      <c r="D47" s="6" t="inlineStr">
        <is>
          <t>Nom + symbole</t>
        </is>
      </c>
      <c r="E47" s="6" t="inlineStr">
        <is>
          <t>Logotype « Moov Africa » de la marque du groupe Maroc Telecom.</t>
        </is>
      </c>
      <c r="F47" s="6" t="inlineStr">
        <is>
          <t>2026 : nouvelle signature institutionnelle « Voir Grand » dévoilée le 16 juillet 2026 pour les 20 ans (signature, pas de changement de logo documenté).</t>
        </is>
      </c>
      <c r="G47" s="49" t="inlineStr">
        <is>
          <t>#005BA4 ; #5EC073</t>
        </is>
      </c>
      <c r="H47" s="6" t="inlineStr">
        <is>
          <t>Non trouvé dans les sources publiques</t>
        </is>
      </c>
      <c r="I47" s="6" t="inlineStr">
        <is>
          <t>Voir Grand</t>
        </is>
      </c>
      <c r="J47" s="6" t="inlineStr">
        <is>
          <t>Non trouvé dans les sources publiques</t>
        </is>
      </c>
      <c r="K47" s="6" t="inlineStr">
        <is>
          <t>Non trouvé dans les sources publiques</t>
        </is>
      </c>
      <c r="L47" s="6" t="inlineStr">
        <is>
          <t>audacieux, jeune</t>
        </is>
      </c>
      <c r="M47" s="6" t="inlineStr">
        <is>
          <t>Filiale d'un groupe à marque panafricaine (Maroc Telecom, marque Moov Africa).</t>
        </is>
      </c>
      <c r="N47" s="6" t="inlineStr">
        <is>
          <t>Couleurs dominantes du code du site moov-africa.ci, relevées le 24/10/2026</t>
        </is>
      </c>
    </row>
    <row r="48">
      <c r="A48" s="7" t="inlineStr">
        <is>
          <t>Wave Côte d'Ivoire</t>
        </is>
      </c>
      <c r="B48" s="9" t="inlineStr">
        <is>
          <t>Côte d'Ivoire, entreprise</t>
        </is>
      </c>
      <c r="C48" s="9" t="inlineStr">
        <is>
          <t>Fintech de mobile money (Wave Mobile Money) ; plus de 21 millions de comptes et 1 million de marchands revendiqués (avril 2026) ; revendique plus de 50 milliards FCFA d'impôts payés par an (Sika Finance, 16/10/2026).</t>
        </is>
      </c>
      <c r="D48" s="9" t="inlineStr">
        <is>
          <t>Symbole</t>
        </is>
      </c>
      <c r="E48" s="9" t="inlineStr">
        <is>
          <t>Pingouin stylisé de la marque Wave.</t>
        </is>
      </c>
      <c r="F48" s="9" t="inlineStr">
        <is>
          <t>Non trouvé dans les sources publiques</t>
        </is>
      </c>
      <c r="G48" s="50" t="inlineStr">
        <is>
          <t>#1DC4FF ; #F67900 ; #46B4CD</t>
        </is>
      </c>
      <c r="H48" s="9" t="inlineStr">
        <is>
          <t>Non trouvé dans les sources publiques</t>
        </is>
      </c>
      <c r="I48" s="9" t="inlineStr">
        <is>
          <t>Non trouvé dans les sources publiques</t>
        </is>
      </c>
      <c r="J48" s="9" t="inlineStr">
        <is>
          <t>Notre mission, faire de l'Afrique le premier continent cashless du monde</t>
        </is>
      </c>
      <c r="K48" s="9" t="inlineStr">
        <is>
          <t>Non trouvé dans les sources publiques</t>
        </is>
      </c>
      <c r="L48" s="9" t="inlineStr">
        <is>
          <t>simple, direct, militant du prix</t>
        </is>
      </c>
      <c r="M48" s="9" t="inlineStr">
        <is>
          <t>Filiale d'une marque panafricaine monolithique (Wave Mobile Money, siège Dakar/États-Unis).</t>
        </is>
      </c>
      <c r="N48" s="9" t="inlineStr">
        <is>
          <t>Mesurée sur le logo officiel le 24/10/2026</t>
        </is>
      </c>
    </row>
    <row r="49">
      <c r="A49" s="4" t="inlineStr">
        <is>
          <t>Société Générale Côte d'Ivoire</t>
        </is>
      </c>
      <c r="B49" s="6" t="inlineStr">
        <is>
          <t>Côte d'Ivoire, entreprise</t>
        </is>
      </c>
      <c r="C49" s="6" t="inlineStr">
        <is>
          <t>Banque (cotée BRVM : SGBC) ; résultat net 101,4 milliards FCFA en 2025, présentée comme leader du marché bancaire ivoirien.</t>
        </is>
      </c>
      <c r="D49" s="6" t="inlineStr">
        <is>
          <t>Symbole + nom</t>
        </is>
      </c>
      <c r="E49" s="6" t="inlineStr">
        <is>
          <t>Carré rouge et noir séparé d'un trait blanc, avec le nom Société Générale (marque du groupe français).</t>
        </is>
      </c>
      <c r="F49" s="6" t="inlineStr">
        <is>
          <t>Non trouvé dans les sources publiques</t>
        </is>
      </c>
      <c r="G49" s="51" t="inlineStr">
        <is>
          <t>#E9041E ; #000000</t>
        </is>
      </c>
      <c r="H49" s="6" t="inlineStr">
        <is>
          <t>Non trouvé dans les sources publiques</t>
        </is>
      </c>
      <c r="I49" s="6" t="inlineStr">
        <is>
          <t>Non trouvé dans les sources publiques</t>
        </is>
      </c>
      <c r="J49" s="6" t="inlineStr">
        <is>
          <t>Non trouvé dans les sources publiques</t>
        </is>
      </c>
      <c r="K49" s="6" t="inlineStr">
        <is>
          <t>Non trouvé dans les sources publiques</t>
        </is>
      </c>
      <c r="L49" s="6" t="inlineStr">
        <is>
          <t>institutionnel, sobre</t>
        </is>
      </c>
      <c r="M49" s="6" t="inlineStr">
        <is>
          <t>Filiale d'un groupe à marque mondiale (Société Générale) ; sites séparés Particuliers / Professionnels / Entreprises / Institutionnel.</t>
        </is>
      </c>
      <c r="N49" s="6" t="inlineStr">
        <is>
          <t>Rouge relevé dans le code du site societegenerale.ci le 24/10/2026</t>
        </is>
      </c>
    </row>
    <row r="50">
      <c r="A50" s="7" t="inlineStr">
        <is>
          <t>NSIA Banque Côte d'Ivoire (groupe NSIA)</t>
        </is>
      </c>
      <c r="B50" s="9" t="inlineStr">
        <is>
          <t>Côte d'Ivoire, entreprise</t>
        </is>
      </c>
      <c r="C50" s="9" t="inlineStr">
        <is>
          <t>Banque (cotée BRVM : NSBC), filiale du groupe financier panafricain NSIA (assurance et banque).</t>
        </is>
      </c>
      <c r="D50" s="9" t="inlineStr">
        <is>
          <t>Nom</t>
        </is>
      </c>
      <c r="E50" s="9" t="inlineStr">
        <is>
          <t>Logotype « NSIA Banque » (versions fond blanc et fond bleu publiées sur le site).</t>
        </is>
      </c>
      <c r="F50" s="9" t="inlineStr">
        <is>
          <t>2026 : nouveau fichier logo HD mis en ligne en avril 2026 (changement de dessin non documenté).</t>
        </is>
      </c>
      <c r="G50" s="52" t="inlineStr">
        <is>
          <t>#1C2B5B ; #E2AF25 ; #D8DADB</t>
        </is>
      </c>
      <c r="H50" s="9" t="inlineStr">
        <is>
          <t>Non trouvé dans les sources publiques</t>
        </is>
      </c>
      <c r="I50" s="9" t="inlineStr">
        <is>
          <t>Non trouvé dans les sources publiques</t>
        </is>
      </c>
      <c r="J50" s="9" t="inlineStr">
        <is>
          <t>Vision : « Être la Banque innovante de référence pour Tous » (plan stratégique « Altitude 2022-2026 »)</t>
        </is>
      </c>
      <c r="K50" s="9" t="inlineStr">
        <is>
          <t>Non trouvé dans les sources publiques</t>
        </is>
      </c>
      <c r="L50" s="9" t="inlineStr">
        <is>
          <t>institutionnel, ambitieux</t>
        </is>
      </c>
      <c r="M50" s="9" t="inlineStr">
        <is>
          <t>Endossée : marque NSIA déclinée par métier (NSIA Banque, NSIA Assurances).</t>
        </is>
      </c>
      <c r="N50" s="9" t="inlineStr">
        <is>
          <t>Mesurée sur le logo officiel le 24/10/2026</t>
        </is>
      </c>
    </row>
    <row r="51">
      <c r="A51" s="4" t="inlineStr">
        <is>
          <t>Ecobank Côte d'Ivoire</t>
        </is>
      </c>
      <c r="B51" s="6" t="inlineStr">
        <is>
          <t>Côte d'Ivoire, entreprise</t>
        </is>
      </c>
      <c r="C51" s="6" t="inlineStr">
        <is>
          <t>Banque (cotée BRVM : ECOC), filiale d'Ecobank Transnational Incorporated (Lomé).</t>
        </is>
      </c>
      <c r="D51" s="6" t="inlineStr">
        <is>
          <t>Symbole + nom</t>
        </is>
      </c>
      <c r="E51" s="6" t="inlineStr">
        <is>
          <t>Logo du groupe Ecobank (symbole et nom).</t>
        </is>
      </c>
      <c r="F51" s="6" t="inlineStr">
        <is>
          <t>Non trouvé dans les sources publiques</t>
        </is>
      </c>
      <c r="G51" s="6" t="inlineStr">
        <is>
          <t>Non trouvé dans les sources publiques</t>
        </is>
      </c>
      <c r="H51" s="6" t="inlineStr">
        <is>
          <t>Non trouvé dans les sources publiques</t>
        </is>
      </c>
      <c r="I51" s="6" t="inlineStr">
        <is>
          <t>Non trouvé dans les sources publiques</t>
        </is>
      </c>
      <c r="J51" s="6" t="inlineStr">
        <is>
          <t>Groupe : « contribuer au développement économique et à l'intégration financière du continent » (objectif publié dans « Qui sommes-nous »)</t>
        </is>
      </c>
      <c r="K51" s="6" t="inlineStr">
        <is>
          <t>Non trouvé dans les sources publiques</t>
        </is>
      </c>
      <c r="L51" s="6" t="inlineStr">
        <is>
          <t>institutionnel, panafricain</t>
        </is>
      </c>
      <c r="M51" s="6" t="inlineStr">
        <is>
          <t>Filiale d'un groupe à marque panafricaine (Ecobank).</t>
        </is>
      </c>
      <c r="N51" s="6" t="inlineStr">
        <is>
          <t>Non trouvé dans les sources publiques</t>
        </is>
      </c>
    </row>
    <row r="52">
      <c r="A52" s="7" t="inlineStr">
        <is>
          <t>Banque Atlantique Côte d'Ivoire</t>
        </is>
      </c>
      <c r="B52" s="9" t="inlineStr">
        <is>
          <t>Côte d'Ivoire, entreprise</t>
        </is>
      </c>
      <c r="C52" s="9" t="inlineStr">
        <is>
          <t>Banque, filiale du Groupe Banque Centrale Populaire (BCP, Maroc).</t>
        </is>
      </c>
      <c r="D52" s="9" t="inlineStr">
        <is>
          <t>Nom + symbole</t>
        </is>
      </c>
      <c r="E52" s="9" t="inlineStr">
        <is>
          <t>Logo Banque Atlantique publié sur le site.</t>
        </is>
      </c>
      <c r="F52" s="9" t="inlineStr">
        <is>
          <t>Non trouvé dans les sources publiques</t>
        </is>
      </c>
      <c r="G52" s="53" t="inlineStr">
        <is>
          <t>#E67900 ; #491D05</t>
        </is>
      </c>
      <c r="H52" s="9" t="inlineStr">
        <is>
          <t>Non trouvé dans les sources publiques</t>
        </is>
      </c>
      <c r="I52" s="9" t="inlineStr">
        <is>
          <t>Non trouvé dans les sources publiques</t>
        </is>
      </c>
      <c r="J52" s="9" t="inlineStr">
        <is>
          <t>Non trouvé dans les sources publiques</t>
        </is>
      </c>
      <c r="K52" s="9" t="inlineStr">
        <is>
          <t>Proximité ; Citoyenneté ; Performance</t>
        </is>
      </c>
      <c r="L52" s="9" t="inlineStr">
        <is>
          <t>institutionnel, proche</t>
        </is>
      </c>
      <c r="M52" s="9" t="inlineStr">
        <is>
          <t>Filiale d'un groupe bancaire (BCP) ; marque régionale Banque Atlantique.</t>
        </is>
      </c>
      <c r="N52" s="9" t="inlineStr">
        <is>
          <t>Mesurée sur le logo officiel le 24/10/2026</t>
        </is>
      </c>
    </row>
    <row r="53">
      <c r="A53" s="4" t="inlineStr">
        <is>
          <t>CIE (Compagnie Ivoirienne d'Électricité)</t>
        </is>
      </c>
      <c r="B53" s="6" t="inlineStr">
        <is>
          <t>Côte d'Ivoire, entreprise</t>
        </is>
      </c>
      <c r="C53" s="6" t="inlineStr">
        <is>
          <t>Distribution d'électricité (concessionnaire unique), cotée BRVM ; groupe Eranove.</t>
        </is>
      </c>
      <c r="D53" s="6" t="inlineStr">
        <is>
          <t>Sigle</t>
        </is>
      </c>
      <c r="E53" s="6" t="inlineStr">
        <is>
          <t>Sigle « CIE » (logo non relevé : site inaccessible depuis notre outil).</t>
        </is>
      </c>
      <c r="F53" s="6" t="inlineStr">
        <is>
          <t>Non trouvé dans les sources publiques</t>
        </is>
      </c>
      <c r="G53" s="6" t="inlineStr">
        <is>
          <t>Non trouvé dans les sources publiques</t>
        </is>
      </c>
      <c r="H53" s="6" t="inlineStr">
        <is>
          <t>Non trouvé dans les sources publiques</t>
        </is>
      </c>
      <c r="I53" s="6" t="inlineStr">
        <is>
          <t>Non trouvé dans les sources publiques</t>
        </is>
      </c>
      <c r="J53" s="6" t="inlineStr">
        <is>
          <t>Non trouvé dans les sources publiques</t>
        </is>
      </c>
      <c r="K53" s="6" t="inlineStr">
        <is>
          <t>Non trouvé dans les sources publiques</t>
        </is>
      </c>
      <c r="L53" s="6" t="inlineStr">
        <is>
          <t>rassurant, technique</t>
        </is>
      </c>
      <c r="M53" s="6" t="inlineStr">
        <is>
          <t>Filiale d'un groupe (Eranove), marque monolithique CIE.</t>
        </is>
      </c>
      <c r="N53" s="6" t="inlineStr">
        <is>
          <t>Non trouvé dans les sources publiques</t>
        </is>
      </c>
    </row>
    <row r="54">
      <c r="A54" s="7" t="inlineStr">
        <is>
          <t>SODECI</t>
        </is>
      </c>
      <c r="B54" s="9" t="inlineStr">
        <is>
          <t>Côte d'Ivoire, entreprise</t>
        </is>
      </c>
      <c r="C54" s="9" t="inlineStr">
        <is>
          <t>Distribution d'eau potable (cotée BRVM), groupe Eranove.</t>
        </is>
      </c>
      <c r="D54" s="9" t="inlineStr">
        <is>
          <t>Sigle</t>
        </is>
      </c>
      <c r="E54" s="9" t="inlineStr">
        <is>
          <t>Logo SODECI publié sur le site.</t>
        </is>
      </c>
      <c r="F54" s="9" t="inlineStr">
        <is>
          <t>Non trouvé dans les sources publiques</t>
        </is>
      </c>
      <c r="G54" s="54" t="inlineStr">
        <is>
          <t>#A5DDB0 ; #00A45F ; #CAEBC9</t>
        </is>
      </c>
      <c r="H54" s="9" t="inlineStr">
        <is>
          <t>Non trouvé dans les sources publiques</t>
        </is>
      </c>
      <c r="I54" s="9" t="inlineStr">
        <is>
          <t>Non trouvé dans les sources publiques</t>
        </is>
      </c>
      <c r="J54" s="9" t="inlineStr">
        <is>
          <t>Non trouvé dans les sources publiques</t>
        </is>
      </c>
      <c r="K54" s="9" t="inlineStr">
        <is>
          <t>Non trouvé dans les sources publiques</t>
        </is>
      </c>
      <c r="L54" s="9" t="inlineStr">
        <is>
          <t>institutionnel, de service</t>
        </is>
      </c>
      <c r="M54" s="9" t="inlineStr">
        <is>
          <t>Filiale d'un groupe (Eranove), marque monolithique.</t>
        </is>
      </c>
      <c r="N54" s="9" t="inlineStr">
        <is>
          <t>Mesurée sur le logo officiel le 24/10/2026</t>
        </is>
      </c>
    </row>
    <row r="55">
      <c r="A55" s="4" t="inlineStr">
        <is>
          <t>PETROCI Holding</t>
        </is>
      </c>
      <c r="B55" s="6" t="inlineStr">
        <is>
          <t>Côte d'Ivoire, entreprise</t>
        </is>
      </c>
      <c r="C55" s="6" t="inlineStr">
        <is>
          <t>Hydrocarbures (exploration, production, gaz butane), société d'État créée en 1975 ; leader du gaz butane avec 44 % de part de marché (site).</t>
        </is>
      </c>
      <c r="D55" s="6" t="inlineStr">
        <is>
          <t>Nom</t>
        </is>
      </c>
      <c r="E55" s="6" t="inlineStr">
        <is>
          <t>Logo PETROCI, version anniversaire 50 ans sur le site.</t>
        </is>
      </c>
      <c r="F55" s="6" t="inlineStr">
        <is>
          <t>2025 : déclinaison « 50 ans » du logo (anniversaire de 1975).</t>
        </is>
      </c>
      <c r="G55" s="55" t="inlineStr">
        <is>
          <t>#F7D6A3 ; #029835 ; #EF8014</t>
        </is>
      </c>
      <c r="H55" s="6" t="inlineStr">
        <is>
          <t>Non trouvé dans les sources publiques</t>
        </is>
      </c>
      <c r="I55" s="6" t="inlineStr">
        <is>
          <t>Non trouvé dans les sources publiques</t>
        </is>
      </c>
      <c r="J55" s="6" t="inlineStr">
        <is>
          <t>« Bâtir une économie pétrolière intégrée et diversifiée, en optimisant les efforts de recherche et la valorisation des ressources en hydrocarbures »</t>
        </is>
      </c>
      <c r="K55" s="6" t="inlineStr">
        <is>
          <t>Non trouvé dans les sources publiques</t>
        </is>
      </c>
      <c r="L55" s="6" t="inlineStr">
        <is>
          <t>institutionnel, national</t>
        </is>
      </c>
      <c r="M55" s="6" t="inlineStr">
        <is>
          <t>Maison avec filiales (ex. Petroci International SA).</t>
        </is>
      </c>
      <c r="N55" s="6" t="inlineStr">
        <is>
          <t>Mesurée sur le logo officiel le 24/10/2026</t>
        </is>
      </c>
    </row>
    <row r="56">
      <c r="A56" s="7" t="inlineStr">
        <is>
          <t>SIR (Société Ivoirienne de Raffinage)</t>
        </is>
      </c>
      <c r="B56" s="9" t="inlineStr">
        <is>
          <t>Côte d'Ivoire, entreprise</t>
        </is>
      </c>
      <c r="C56" s="9" t="inlineStr">
        <is>
          <t>Raffinage pétrolier, société à participation publique créée en 1962 ; première entreprise ivoirienne par CA selon Sika Finance (CA 2019 &gt; 1 355 milliards FCFA ; classement 2024 dominé par la SIR, sans chiffre lu).</t>
        </is>
      </c>
      <c r="D56" s="9" t="inlineStr">
        <is>
          <t>Sigle</t>
        </is>
      </c>
      <c r="E56" s="9" t="inlineStr">
        <is>
          <t>Logo SIR (fichier SVG du site).</t>
        </is>
      </c>
      <c r="F56" s="9" t="inlineStr">
        <is>
          <t>Non trouvé dans les sources publiques</t>
        </is>
      </c>
      <c r="G56" s="56" t="inlineStr">
        <is>
          <t>#04A64B ; #F0912E ; #36B76F</t>
        </is>
      </c>
      <c r="H56" s="9" t="inlineStr">
        <is>
          <t>Non trouvé dans les sources publiques</t>
        </is>
      </c>
      <c r="I56" s="9" t="inlineStr">
        <is>
          <t>Non trouvé dans les sources publiques</t>
        </is>
      </c>
      <c r="J56" s="9" t="inlineStr">
        <is>
          <t>Non trouvé dans les sources publiques</t>
        </is>
      </c>
      <c r="K56" s="9" t="inlineStr">
        <is>
          <t>Non trouvé dans les sources publiques</t>
        </is>
      </c>
      <c r="L56" s="9" t="inlineStr">
        <is>
          <t>technique, sobre</t>
        </is>
      </c>
      <c r="M56" s="9" t="inlineStr">
        <is>
          <t>Monolithique.</t>
        </is>
      </c>
      <c r="N56" s="9" t="inlineStr">
        <is>
          <t>Mesurée sur le logo officiel le 24/10/2026</t>
        </is>
      </c>
    </row>
    <row r="57">
      <c r="A57" s="4" t="inlineStr">
        <is>
          <t>Groupe SIFCA</t>
        </is>
      </c>
      <c r="B57" s="6" t="inlineStr">
        <is>
          <t>Côte d'Ivoire, entreprise</t>
        </is>
      </c>
      <c r="C57" s="6" t="inlineStr">
        <is>
          <t>Agro-industrie (palmier à huile, sucre, caoutchouc), fondé en 1964 ; 33 000 employés, 13 filiales dans 5 pays dont SAPH, PALMCI, Sucrivoire cotées.</t>
        </is>
      </c>
      <c r="D57" s="6" t="inlineStr">
        <is>
          <t>Nom</t>
        </is>
      </c>
      <c r="E57" s="6" t="inlineStr">
        <is>
          <t>Logotype SIFCA publié sur le site.</t>
        </is>
      </c>
      <c r="F57" s="6" t="inlineStr">
        <is>
          <t>Non trouvé dans les sources publiques</t>
        </is>
      </c>
      <c r="G57" s="57" t="inlineStr">
        <is>
          <t>#A2968A ; #EAB21E</t>
        </is>
      </c>
      <c r="H57" s="6" t="inlineStr">
        <is>
          <t>Non trouvé dans les sources publiques</t>
        </is>
      </c>
      <c r="I57" s="6" t="inlineStr">
        <is>
          <t>Non trouvé dans les sources publiques</t>
        </is>
      </c>
      <c r="J57" s="6" t="inlineStr">
        <is>
          <t>Non trouvé dans les sources publiques</t>
        </is>
      </c>
      <c r="K57" s="6" t="inlineStr">
        <is>
          <t>Responsabilité ; Éthique ; Qualité</t>
        </is>
      </c>
      <c r="L57" s="6" t="inlineStr">
        <is>
          <t>familial, responsable</t>
        </is>
      </c>
      <c r="M57" s="6" t="inlineStr">
        <is>
          <t>Maison de marques / groupe à filiales (SAPH, PALMCI, Sucrivoire, Sania).</t>
        </is>
      </c>
      <c r="N57" s="6" t="inlineStr">
        <is>
          <t>Mesurée sur le logo officiel le 24/10/2026</t>
        </is>
      </c>
    </row>
    <row r="58">
      <c r="A58" s="7" t="inlineStr">
        <is>
          <t>SAPH</t>
        </is>
      </c>
      <c r="B58" s="9" t="inlineStr">
        <is>
          <t>Côte d'Ivoire, entreprise</t>
        </is>
      </c>
      <c r="C58" s="9" t="inlineStr">
        <is>
          <t>Caoutchouc naturel (cotée BRVM : SPHC), filiale de SIFCA ; 1er producteur d'Afrique de l'Ouest.</t>
        </is>
      </c>
      <c r="D58" s="9" t="inlineStr">
        <is>
          <t>Nom</t>
        </is>
      </c>
      <c r="E58" s="9" t="inlineStr">
        <is>
          <t>Logo SAPH publié sur le site.</t>
        </is>
      </c>
      <c r="F58" s="9" t="inlineStr">
        <is>
          <t>Non trouvé dans les sources publiques</t>
        </is>
      </c>
      <c r="G58" s="58" t="inlineStr">
        <is>
          <t>#40B83D ; #757575</t>
        </is>
      </c>
      <c r="H58" s="9" t="inlineStr">
        <is>
          <t>Non trouvé dans les sources publiques</t>
        </is>
      </c>
      <c r="I58" s="9" t="inlineStr">
        <is>
          <t>Non trouvé dans les sources publiques</t>
        </is>
      </c>
      <c r="J58" s="9" t="inlineStr">
        <is>
          <t>Non trouvé dans les sources publiques</t>
        </is>
      </c>
      <c r="K58" s="9" t="inlineStr">
        <is>
          <t>Non trouvé dans les sources publiques</t>
        </is>
      </c>
      <c r="L58" s="9" t="inlineStr">
        <is>
          <t>institutionnel, RSE</t>
        </is>
      </c>
      <c r="M58" s="9" t="inlineStr">
        <is>
          <t>Filiale endossée par le groupe SIFCA.</t>
        </is>
      </c>
      <c r="N58" s="9" t="inlineStr">
        <is>
          <t>Mesurée sur le logo officiel le 24/10/2026</t>
        </is>
      </c>
    </row>
    <row r="59">
      <c r="A59" s="4" t="inlineStr">
        <is>
          <t>Solibra</t>
        </is>
      </c>
      <c r="B59" s="6" t="inlineStr">
        <is>
          <t>Côte d'Ivoire, entreprise</t>
        </is>
      </c>
      <c r="C59" s="6" t="inlineStr">
        <is>
          <t>Boissons (bières, sodas, eaux), cotée BRVM ; CA historique 378,12 milliards FCFA en 2025 (Ivoire Industrie Mag, 20/05/2026).</t>
        </is>
      </c>
      <c r="D59" s="6" t="inlineStr">
        <is>
          <t>Nom</t>
        </is>
      </c>
      <c r="E59" s="6" t="inlineStr">
        <is>
          <t>Logo Solibra.</t>
        </is>
      </c>
      <c r="F59" s="6" t="inlineStr">
        <is>
          <t>Non trouvé dans les sources publiques</t>
        </is>
      </c>
      <c r="G59" s="6" t="inlineStr">
        <is>
          <t>Non trouvé dans les sources publiques</t>
        </is>
      </c>
      <c r="H59" s="6" t="inlineStr">
        <is>
          <t>Non trouvé dans les sources publiques</t>
        </is>
      </c>
      <c r="I59" s="6" t="inlineStr">
        <is>
          <t>Non trouvé dans les sources publiques</t>
        </is>
      </c>
      <c r="J59" s="6" t="inlineStr">
        <is>
          <t>« Depuis plus de 70 ans, SOLIBRA accompagne les Ivoiriens dans leurs moments de vie les plus précieux à travers des boissons qui rassemblent et font vibrer. »</t>
        </is>
      </c>
      <c r="K59" s="6" t="inlineStr">
        <is>
          <t>Non trouvé dans les sources publiques</t>
        </is>
      </c>
      <c r="L59" s="6" t="inlineStr">
        <is>
          <t>convivial, populaire</t>
        </is>
      </c>
      <c r="M59" s="6" t="inlineStr">
        <is>
          <t>Maison de marques (Bock, Castel Beer, Youki, licences Guinness, Orangina…).</t>
        </is>
      </c>
      <c r="N59" s="6" t="inlineStr">
        <is>
          <t>Non trouvé dans les sources publiques</t>
        </is>
      </c>
    </row>
    <row r="60">
      <c r="A60" s="7" t="inlineStr">
        <is>
          <t>Air Côte d'Ivoire</t>
        </is>
      </c>
      <c r="B60" s="9" t="inlineStr">
        <is>
          <t>Côte d'Ivoire, entreprise</t>
        </is>
      </c>
      <c r="C60" s="9" t="inlineStr">
        <is>
          <t>Transport aérien, compagnie nationale créée en 2012 ; État 58 % du capital.</t>
        </is>
      </c>
      <c r="D60" s="9" t="inlineStr">
        <is>
          <t>Logo (forme non décrite, fichier relevé)</t>
        </is>
      </c>
      <c r="E60" s="9" t="inlineStr">
        <is>
          <t>Logo Air Côte d'Ivoire publié sur le site.</t>
        </is>
      </c>
      <c r="F60" s="9" t="inlineStr">
        <is>
          <t>Non trouvé dans les sources publiques</t>
        </is>
      </c>
      <c r="G60" s="59" t="inlineStr">
        <is>
          <t>#05462A ; #E77930 ; #9BC63A</t>
        </is>
      </c>
      <c r="H60" s="9" t="inlineStr">
        <is>
          <t>Non trouvé dans les sources publiques</t>
        </is>
      </c>
      <c r="I60" s="9" t="inlineStr">
        <is>
          <t>Non trouvé dans les sources publiques</t>
        </is>
      </c>
      <c r="J60" s="9" t="inlineStr">
        <is>
          <t>Non trouvé dans les sources publiques</t>
        </is>
      </c>
      <c r="K60" s="9" t="inlineStr">
        <is>
          <t>Non trouvé dans les sources publiques</t>
        </is>
      </c>
      <c r="L60" s="9" t="inlineStr">
        <is>
          <t>premium, fier</t>
        </is>
      </c>
      <c r="M60" s="9" t="inlineStr">
        <is>
          <t>Monolithique.</t>
        </is>
      </c>
      <c r="N60" s="9" t="inlineStr">
        <is>
          <t>Mesurée sur le logo officiel le 24/10/2026</t>
        </is>
      </c>
    </row>
    <row r="61">
      <c r="A61" s="4" t="inlineStr">
        <is>
          <t>Port Autonome d'Abidjan</t>
        </is>
      </c>
      <c r="B61" s="6" t="inlineStr">
        <is>
          <t>Côte d'Ivoire, entreprise</t>
        </is>
      </c>
      <c r="C61" s="6" t="inlineStr">
        <is>
          <t>Infrastructure portuaire publique.</t>
        </is>
      </c>
      <c r="D61" s="6" t="inlineStr">
        <is>
          <t>Non relevé</t>
        </is>
      </c>
      <c r="E61" s="6" t="inlineStr">
        <is>
          <t>Logo du PAA (non relevé).</t>
        </is>
      </c>
      <c r="F61" s="6" t="inlineStr">
        <is>
          <t>Non trouvé dans les sources publiques</t>
        </is>
      </c>
      <c r="G61" s="6" t="inlineStr">
        <is>
          <t>Non trouvé dans les sources publiques</t>
        </is>
      </c>
      <c r="H61" s="6" t="inlineStr">
        <is>
          <t>Non trouvé dans les sources publiques</t>
        </is>
      </c>
      <c r="I61" s="6" t="inlineStr">
        <is>
          <t>Non trouvé dans les sources publiques</t>
        </is>
      </c>
      <c r="J61" s="6" t="inlineStr">
        <is>
          <t>Non trouvé dans les sources publiques</t>
        </is>
      </c>
      <c r="K61" s="6" t="inlineStr">
        <is>
          <t>Non trouvé dans les sources publiques</t>
        </is>
      </c>
      <c r="L61" s="6" t="inlineStr">
        <is>
          <t>institutionnel</t>
        </is>
      </c>
      <c r="M61" s="6" t="inlineStr">
        <is>
          <t>Monolithique.</t>
        </is>
      </c>
      <c r="N61" s="6" t="inlineStr">
        <is>
          <t>Non trouvé dans les sources publiques</t>
        </is>
      </c>
    </row>
    <row r="62">
      <c r="A62" s="7" t="inlineStr">
        <is>
          <t>Prosuma</t>
        </is>
      </c>
      <c r="B62" s="9" t="inlineStr">
        <is>
          <t>Côte d'Ivoire, entreprise</t>
        </is>
      </c>
      <c r="C62" s="9" t="inlineStr">
        <is>
          <t>Grande distribution (186 points de vente, 25 enseignes, +6 451 collaborateurs).</t>
        </is>
      </c>
      <c r="D62" s="9" t="inlineStr">
        <is>
          <t>Nom</t>
        </is>
      </c>
      <c r="E62" s="9" t="inlineStr">
        <is>
          <t>Logo Prosuma (non relevé).</t>
        </is>
      </c>
      <c r="F62" s="9" t="inlineStr">
        <is>
          <t>Non trouvé dans les sources publiques</t>
        </is>
      </c>
      <c r="G62" s="9" t="inlineStr">
        <is>
          <t>Non trouvé dans les sources publiques</t>
        </is>
      </c>
      <c r="H62" s="9" t="inlineStr">
        <is>
          <t>Non trouvé dans les sources publiques</t>
        </is>
      </c>
      <c r="I62" s="9" t="inlineStr">
        <is>
          <t>Non trouvé dans les sources publiques</t>
        </is>
      </c>
      <c r="J62" s="9" t="inlineStr">
        <is>
          <t>Mission : « distribution moderne… création et promotion d'une nouvelle génération de distributeurs ivoiriens modernes » (traduit de la version anglaise publiée)</t>
        </is>
      </c>
      <c r="K62" s="9" t="inlineStr">
        <is>
          <t>Le client ; Les personnes ; Le professionnalisme ; La responsabilité ; La loyauté ; La solidarité ; Le multiculturalisme ; L'humilité</t>
        </is>
      </c>
      <c r="L62" s="9" t="inlineStr">
        <is>
          <t>familial, sobre</t>
        </is>
      </c>
      <c r="M62" s="9" t="inlineStr">
        <is>
          <t>Maison d'enseignes (ex. Cash Ivoire).</t>
        </is>
      </c>
      <c r="N62" s="9" t="inlineStr">
        <is>
          <t>Non trouvé dans les sources publiques</t>
        </is>
      </c>
    </row>
    <row r="63">
      <c r="A63" s="4" t="inlineStr">
        <is>
          <t>Uniwax</t>
        </is>
      </c>
      <c r="B63" s="6" t="inlineStr">
        <is>
          <t>Côte d'Ivoire, entreprise</t>
        </is>
      </c>
      <c r="C63" s="6" t="inlineStr">
        <is>
          <t>Textile (pagne wax), cotée BRVM ; COIC devenue actionnaire majoritaire en septembre 2026.</t>
        </is>
      </c>
      <c r="D63" s="6" t="inlineStr">
        <is>
          <t>Nom</t>
        </is>
      </c>
      <c r="E63" s="6" t="inlineStr">
        <is>
          <t>Logo Uniwax publié sur le site.</t>
        </is>
      </c>
      <c r="F63" s="6" t="inlineStr">
        <is>
          <t>Non trouvé dans les sources publiques</t>
        </is>
      </c>
      <c r="G63" s="60" t="inlineStr">
        <is>
          <t>#E1B854</t>
        </is>
      </c>
      <c r="H63" s="6" t="inlineStr">
        <is>
          <t>Non trouvé dans les sources publiques</t>
        </is>
      </c>
      <c r="I63" s="6" t="inlineStr">
        <is>
          <t>Avec Uniwax votre style vous appartient</t>
        </is>
      </c>
      <c r="J63" s="6" t="inlineStr">
        <is>
          <t>Non trouvé dans les sources publiques</t>
        </is>
      </c>
      <c r="K63" s="6" t="inlineStr">
        <is>
          <t>Non trouvé dans les sources publiques</t>
        </is>
      </c>
      <c r="L63" s="6" t="inlineStr">
        <is>
          <t>chaleureux, culturel</t>
        </is>
      </c>
      <c r="M63" s="6" t="inlineStr">
        <is>
          <t>Monolithique.</t>
        </is>
      </c>
      <c r="N63" s="6" t="inlineStr">
        <is>
          <t>Mesurée sur le logo officiel le 24/10/2026</t>
        </is>
      </c>
    </row>
    <row r="64">
      <c r="A64" s="7" t="inlineStr">
        <is>
          <t>Sania (groupe SIFCA)</t>
        </is>
      </c>
      <c r="B64" s="9" t="inlineStr">
        <is>
          <t>Côte d'Ivoire, entreprise</t>
        </is>
      </c>
      <c r="C64" s="9" t="inlineStr">
        <is>
          <t>Raffinage d'huile de palme, coentreprise SIFCA / Wilmar-Olam ; marques Dinor, Palme d'Or.</t>
        </is>
      </c>
      <c r="D64" s="9" t="inlineStr">
        <is>
          <t>Nom</t>
        </is>
      </c>
      <c r="E64" s="9" t="inlineStr">
        <is>
          <t>Logo Sania (non relevé).</t>
        </is>
      </c>
      <c r="F64" s="9" t="inlineStr">
        <is>
          <t>Non trouvé dans les sources publiques</t>
        </is>
      </c>
      <c r="G64" s="9" t="inlineStr">
        <is>
          <t>Non trouvé dans les sources publiques</t>
        </is>
      </c>
      <c r="H64" s="9" t="inlineStr">
        <is>
          <t>Non trouvé dans les sources publiques</t>
        </is>
      </c>
      <c r="I64" s="9" t="inlineStr">
        <is>
          <t>Dinor : « Partageons du goût, partageons du bonheur » (signature de marque produit)</t>
        </is>
      </c>
      <c r="J64" s="9" t="inlineStr">
        <is>
          <t>Non trouvé dans les sources publiques</t>
        </is>
      </c>
      <c r="K64" s="9" t="inlineStr">
        <is>
          <t>Non trouvé dans les sources publiques</t>
        </is>
      </c>
      <c r="L64" s="9" t="inlineStr">
        <is>
          <t>familial, chaleureux</t>
        </is>
      </c>
      <c r="M64" s="9" t="inlineStr">
        <is>
          <t>Maison de marques (Dinor, Palme d'Or, St Avé, Délicia).</t>
        </is>
      </c>
      <c r="N64" s="9" t="inlineStr">
        <is>
          <t>Non trouvé dans les sources publiques</t>
        </is>
      </c>
    </row>
    <row r="65">
      <c r="A65" s="4" t="inlineStr">
        <is>
          <t>Présidence de la République de Côte d'Ivoire</t>
        </is>
      </c>
      <c r="B65" s="6" t="inlineStr">
        <is>
          <t>Côte d'Ivoire, État</t>
        </is>
      </c>
      <c r="C65" s="6" t="inlineStr">
        <is>
          <t>Institution publique</t>
        </is>
      </c>
      <c r="D65" s="6" t="inlineStr">
        <is>
          <t>Armoiries</t>
        </is>
      </c>
      <c r="E65" s="6" t="inlineStr">
        <is>
          <t>Armoiries de la République (tête d'éléphant) avec la devise « Union – Discipline – Travail ».</t>
        </is>
      </c>
      <c r="F65" s="6" t="inlineStr">
        <is>
          <t>Non trouvé dans les sources publiques</t>
        </is>
      </c>
      <c r="G65" s="6" t="inlineStr">
        <is>
          <t>Orange ; Blanc ; Vert</t>
        </is>
      </c>
      <c r="H65" s="6" t="inlineStr">
        <is>
          <t>Non trouvé dans les sources publiques</t>
        </is>
      </c>
      <c r="I65" s="6" t="inlineStr">
        <is>
          <t>Union – Discipline – Travail</t>
        </is>
      </c>
      <c r="J65" s="6" t="inlineStr">
        <is>
          <t>Non trouvé dans les sources publiques</t>
        </is>
      </c>
      <c r="K65" s="6" t="inlineStr">
        <is>
          <t>Non trouvé dans les sources publiques</t>
        </is>
      </c>
      <c r="L65" s="6" t="inlineStr">
        <is>
          <t>solennel, institutionnel</t>
        </is>
      </c>
      <c r="M65" s="6" t="inlineStr">
        <is>
          <t>Monolithique (État).</t>
        </is>
      </c>
      <c r="N65" s="6" t="inlineStr">
        <is>
          <t>Couleurs nationales du drapeau (Constitution) ; codes hex non publiés à notre connaissance</t>
        </is>
      </c>
    </row>
    <row r="66">
      <c r="A66" s="7" t="inlineStr">
        <is>
          <t>Gouvernement de Côte d'Ivoire / Primature</t>
        </is>
      </c>
      <c r="B66" s="9" t="inlineStr">
        <is>
          <t>Côte d'Ivoire, État</t>
        </is>
      </c>
      <c r="C66" s="9" t="inlineStr">
        <is>
          <t>Institution publique</t>
        </is>
      </c>
      <c r="D66" s="9" t="inlineStr">
        <is>
          <t>Armoiries</t>
        </is>
      </c>
      <c r="E66" s="9" t="inlineStr">
        <is>
          <t>Armoiries de la République sur le portail gouv.ci.</t>
        </is>
      </c>
      <c r="F66" s="9" t="inlineStr">
        <is>
          <t>Projet de charte graphique unique de la République validé en Conseil des ministres le 19 avril 2023 (porte-parole Amadou Coulibaly) ; document publié non trouvé.</t>
        </is>
      </c>
      <c r="G66" s="9" t="inlineStr">
        <is>
          <t>Orange ; Blanc ; Vert</t>
        </is>
      </c>
      <c r="H66" s="9" t="inlineStr">
        <is>
          <t>Non trouvé dans les sources publiques</t>
        </is>
      </c>
      <c r="I66" s="9" t="inlineStr">
        <is>
          <t>Non trouvé dans les sources publiques</t>
        </is>
      </c>
      <c r="J66" s="9" t="inlineStr">
        <is>
          <t>Non trouvé dans les sources publiques</t>
        </is>
      </c>
      <c r="K66" s="9" t="inlineStr">
        <is>
          <t>Non trouvé dans les sources publiques</t>
        </is>
      </c>
      <c r="L66" s="9" t="inlineStr">
        <is>
          <t>institutionnel</t>
        </is>
      </c>
      <c r="M66" s="9" t="inlineStr">
        <is>
          <t>Monolithique.</t>
        </is>
      </c>
      <c r="N66" s="9" t="inlineStr">
        <is>
          <t>Couleurs nationales</t>
        </is>
      </c>
    </row>
    <row r="67">
      <c r="A67" s="4" t="inlineStr">
        <is>
          <t>Ministère de la Communication, Porte-Parole du Gouvernement</t>
        </is>
      </c>
      <c r="B67" s="6" t="inlineStr">
        <is>
          <t>Côte d'Ivoire, État</t>
        </is>
      </c>
      <c r="C67" s="6" t="inlineStr">
        <is>
          <t>Institution publique</t>
        </is>
      </c>
      <c r="D67" s="6" t="inlineStr">
        <is>
          <t>Armoiries</t>
        </is>
      </c>
      <c r="E67" s="6" t="inlineStr">
        <is>
          <t>Armoiries de la République sur le site du ministère.</t>
        </is>
      </c>
      <c r="F67" s="6" t="inlineStr">
        <is>
          <t>Non trouvé dans les sources publiques</t>
        </is>
      </c>
      <c r="G67" s="6" t="inlineStr">
        <is>
          <t>Orange ; Blanc ; Vert</t>
        </is>
      </c>
      <c r="H67" s="6" t="inlineStr">
        <is>
          <t>Non trouvé dans les sources publiques</t>
        </is>
      </c>
      <c r="I67" s="6" t="inlineStr">
        <is>
          <t>Non trouvé dans les sources publiques</t>
        </is>
      </c>
      <c r="J67" s="6" t="inlineStr">
        <is>
          <t>Non trouvé dans les sources publiques</t>
        </is>
      </c>
      <c r="K67" s="6" t="inlineStr">
        <is>
          <t>Non trouvé dans les sources publiques</t>
        </is>
      </c>
      <c r="L67" s="6" t="inlineStr">
        <is>
          <t>institutionnel</t>
        </is>
      </c>
      <c r="M67" s="6" t="inlineStr">
        <is>
          <t>Ministère.</t>
        </is>
      </c>
      <c r="N67" s="6" t="inlineStr">
        <is>
          <t>Couleurs nationales</t>
        </is>
      </c>
    </row>
    <row r="68">
      <c r="A68" s="7" t="inlineStr">
        <is>
          <t>CICG (Centre d'Information et de Communication Gouvernementale)</t>
        </is>
      </c>
      <c r="B68" s="9" t="inlineStr">
        <is>
          <t>Côte d'Ivoire, État</t>
        </is>
      </c>
      <c r="C68" s="9" t="inlineStr">
        <is>
          <t>Institution publique</t>
        </is>
      </c>
      <c r="D68" s="9" t="inlineStr">
        <is>
          <t>Logo</t>
        </is>
      </c>
      <c r="E68" s="9" t="inlineStr">
        <is>
          <t>Logo du CICG (non relevé).</t>
        </is>
      </c>
      <c r="F68" s="9" t="inlineStr">
        <is>
          <t>Non trouvé dans les sources publiques</t>
        </is>
      </c>
      <c r="G68" s="9" t="inlineStr">
        <is>
          <t>Non trouvé dans les sources publiques</t>
        </is>
      </c>
      <c r="H68" s="9" t="inlineStr">
        <is>
          <t>Non trouvé dans les sources publiques</t>
        </is>
      </c>
      <c r="I68" s="9" t="inlineStr">
        <is>
          <t>Non trouvé dans les sources publiques</t>
        </is>
      </c>
      <c r="J68" s="9" t="inlineStr">
        <is>
          <t>Non trouvé dans les sources publiques</t>
        </is>
      </c>
      <c r="K68" s="9" t="inlineStr">
        <is>
          <t>Non trouvé dans les sources publiques</t>
        </is>
      </c>
      <c r="L68" s="9" t="inlineStr">
        <is>
          <t>pédagogique</t>
        </is>
      </c>
      <c r="M68" s="9" t="inlineStr">
        <is>
          <t>Structure rattachée au gouvernement.</t>
        </is>
      </c>
      <c r="N68" s="9" t="inlineStr">
        <is>
          <t>Non trouvé dans les sources publiques</t>
        </is>
      </c>
    </row>
    <row r="69">
      <c r="A69" s="4" t="inlineStr">
        <is>
          <t>Marque pays « Sublime Côte d'Ivoire » (tourisme)</t>
        </is>
      </c>
      <c r="B69" s="6" t="inlineStr">
        <is>
          <t>Côte d'Ivoire, État</t>
        </is>
      </c>
      <c r="C69" s="6" t="inlineStr">
        <is>
          <t>Institution publique</t>
        </is>
      </c>
      <c r="D69" s="6" t="inlineStr">
        <is>
          <t>Marque</t>
        </is>
      </c>
      <c r="E69" s="6" t="inlineStr">
        <is>
          <t>Marque touristique « Sublime Côte d'Ivoire » portée par le ministère du Tourisme.</t>
        </is>
      </c>
      <c r="F69" s="6" t="inlineStr">
        <is>
          <t>Non trouvé dans les sources publiques</t>
        </is>
      </c>
      <c r="G69" s="6" t="inlineStr">
        <is>
          <t>Non trouvé dans les sources publiques</t>
        </is>
      </c>
      <c r="H69" s="6" t="inlineStr">
        <is>
          <t>Non trouvé dans les sources publiques</t>
        </is>
      </c>
      <c r="I69" s="6" t="inlineStr">
        <is>
          <t>Sublime Côte d'Ivoire</t>
        </is>
      </c>
      <c r="J69" s="6" t="inlineStr">
        <is>
          <t>Non trouvé dans les sources publiques</t>
        </is>
      </c>
      <c r="K69" s="6" t="inlineStr">
        <is>
          <t>Non trouvé dans les sources publiques</t>
        </is>
      </c>
      <c r="L69" s="6" t="inlineStr">
        <is>
          <t>fier, festif</t>
        </is>
      </c>
      <c r="M69" s="6" t="inlineStr">
        <is>
          <t>Marque pays.</t>
        </is>
      </c>
      <c r="N69" s="6" t="inlineStr">
        <is>
          <t>Non trouvé dans les sources publiques</t>
        </is>
      </c>
    </row>
  </sheetData>
  <autoFilter ref="A4:N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30" customWidth="1" min="3" max="3"/>
    <col width="40" customWidth="1" min="4" max="4"/>
    <col width="30" customWidth="1" min="5" max="5"/>
    <col width="22" customWidth="1" min="6" max="6"/>
    <col width="46" customWidth="1" min="7" max="7"/>
    <col width="30" customWidth="1" min="8" max="8"/>
    <col width="32" customWidth="1" min="9" max="9"/>
    <col width="46" customWidth="1" min="10" max="10"/>
    <col width="40" customWidth="1" min="11" max="11"/>
  </cols>
  <sheetData>
    <row r="1" ht="26" customHeight="1">
      <c r="A1" s="1" t="inlineStr">
        <is>
          <t>Presse et image publique</t>
        </is>
      </c>
    </row>
    <row r="2">
      <c r="A2" s="2" t="inlineStr">
        <is>
          <t>Abonnés : chiffres lus le 24/10/2026, avec leur provenance. Gouvernement ivoirien inclus en fin de tableau.</t>
        </is>
      </c>
    </row>
    <row r="4" ht="32" customHeight="1">
      <c r="A4" s="3" t="inlineStr">
        <is>
          <t>Marque</t>
        </is>
      </c>
      <c r="B4" s="3" t="inlineStr">
        <is>
          <t>Groupe</t>
        </is>
      </c>
      <c r="C4" s="3" t="inlineStr">
        <is>
          <t>Espace presse</t>
        </is>
      </c>
      <c r="D4" s="3" t="inlineStr">
        <is>
          <t>Contenu de l'espace presse</t>
        </is>
      </c>
      <c r="E4" s="3" t="inlineStr">
        <is>
          <t>Porte-parole</t>
        </is>
      </c>
      <c r="F4" s="3" t="inlineStr">
        <is>
          <t>Dirigeant sur LinkedIn</t>
        </is>
      </c>
      <c r="G4" s="3" t="inlineStr">
        <is>
          <t>Réseaux et abonnés</t>
        </is>
      </c>
      <c r="H4" s="3" t="inlineStr">
        <is>
          <t>Média de marque</t>
        </is>
      </c>
      <c r="I4" s="3" t="inlineStr">
        <is>
          <t>Classements de réputation</t>
        </is>
      </c>
      <c r="J4" s="3" t="inlineStr">
        <is>
          <t>Crise récente et réponse</t>
        </is>
      </c>
      <c r="K4" s="3" t="inlineStr">
        <is>
          <t>Récit dominant</t>
        </is>
      </c>
    </row>
    <row r="5">
      <c r="A5" s="4" t="inlineStr">
        <is>
          <t>Accor</t>
        </is>
      </c>
      <c r="B5" s="6" t="inlineStr">
        <is>
          <t>CAC 40</t>
        </is>
      </c>
      <c r="C5" s="6" t="inlineStr">
        <is>
          <t>https://press.accor.com/press-contacts-en-296586</t>
        </is>
      </c>
      <c r="D5" s="6" t="inlineStr">
        <is>
          <t>Site presse dédié (press.accor.com) : communiqués, contacts relations médias nommés par région (ex. Line Crieloue).</t>
        </is>
      </c>
      <c r="E5" s="6" t="inlineStr">
        <is>
          <t>Sébastien Bazin, président-directeur général</t>
        </is>
      </c>
      <c r="F5" s="6" t="inlineStr">
        <is>
          <t>Non trouvé dans les sources publiques</t>
        </is>
      </c>
      <c r="G5" s="6" t="inlineStr">
        <is>
          <t>LinkedIn : 2 401 844 abonnés, chiffre lu sur un agrégateur tiers (icebreaker) le 24/10/2026, pas sur LinkedIn ; autres réseaux non relevés</t>
        </is>
      </c>
      <c r="H5" s="6" t="inlineStr">
        <is>
          <t>rubrique éditoriale « news-stories » sur group.accor.com</t>
        </is>
      </c>
      <c r="I5" s="6" t="inlineStr">
        <is>
          <t>Non trouvé dans les sources publiques</t>
        </is>
      </c>
      <c r="J5" s="6" t="inlineStr">
        <is>
          <t>Mars 2026 : le rapport de Grizzly Research accuse des hôtels du groupe de failles face à la traite et à l'exploitation sexuelle d'enfants. Accor dément toute implication systémique, lance des audits internes et externes, puis annonce un renforcement de son dispositif de protection.</t>
        </is>
      </c>
      <c r="K5" s="6" t="inlineStr">
        <is>
          <t>Une hospitalité responsable portée par ses « Heartists® », au service des cultures et de la planète.</t>
        </is>
      </c>
    </row>
    <row r="6">
      <c r="A6" s="7" t="inlineStr">
        <is>
          <t>Airbus</t>
        </is>
      </c>
      <c r="B6" s="9" t="inlineStr">
        <is>
          <t>CAC 40</t>
        </is>
      </c>
      <c r="C6" s="9" t="inlineStr">
        <is>
          <t>https://airbus.com/en/contacts</t>
        </is>
      </c>
      <c r="D6" s="9" t="inlineStr">
        <is>
          <t>Page de contacts avec des adresses médias génériques par pays (ex. AirbusUSMedia@airbus.com) ; communiqués et documents en PDF sur mediaassets.airbus.com.</t>
        </is>
      </c>
      <c r="E6" s="9" t="inlineStr">
        <is>
          <t>Guillaume Faury, directeur général</t>
        </is>
      </c>
      <c r="F6" s="9" t="inlineStr">
        <is>
          <t>oui (profil « CEO - Airbus »), nombre d'abonnés non lu ; sur X : 17,3 k abonnés, lu dans un extrait de recherche le 24/10/2026</t>
        </is>
      </c>
      <c r="G6" s="9" t="inlineStr">
        <is>
          <t>non relevé</t>
        </is>
      </c>
      <c r="H6" s="9" t="inlineStr">
        <is>
          <t>Non trouvé dans les sources publiques</t>
        </is>
      </c>
      <c r="I6" s="9" t="inlineStr">
        <is>
          <t>Non trouvé dans les sources publiques</t>
        </is>
      </c>
      <c r="J6" s="9" t="inlineStr">
        <is>
          <t>Fin novembre 2025 : Airbus rappelle en urgence environ 6 000 A320 à cause d'un défaut de logiciel sensible aux radiations solaires, et demande aux compagnies d'arrêter immédiatement les vols concernés. Correctif déployé ; Le Monde rapporte le 10/12/2025 que le problème est réglé.</t>
        </is>
      </c>
      <c r="K6" s="9" t="inlineStr">
        <is>
          <t>Le pionnier européen d'une aéronautique décarbonée.</t>
        </is>
      </c>
    </row>
    <row r="7">
      <c r="A7" s="4" t="inlineStr">
        <is>
          <t>Air Liquide</t>
        </is>
      </c>
      <c r="B7" s="6" t="inlineStr">
        <is>
          <t>CAC 40</t>
        </is>
      </c>
      <c r="C7" s="6" t="inlineStr">
        <is>
          <t>https://www.airliquide.com/fr/groupe/communiques-presse-actualites</t>
        </is>
      </c>
      <c r="D7" s="6" t="inlineStr">
        <is>
          <t>Communiqués et actualités du groupe, filtrables, avec PDF des résultats. Contact presse générique : media@airliquide.com.</t>
        </is>
      </c>
      <c r="E7" s="6" t="inlineStr">
        <is>
          <t>François Jackow, directeur général</t>
        </is>
      </c>
      <c r="F7" s="6" t="inlineStr">
        <is>
          <t>Non trouvé dans les sources publiques</t>
        </is>
      </c>
      <c r="G7" s="6" t="inlineStr">
        <is>
          <t>non relevé</t>
        </is>
      </c>
      <c r="H7" s="6" t="inlineStr">
        <is>
          <t>Non trouvé dans les sources publiques</t>
        </is>
      </c>
      <c r="I7" s="6" t="inlineStr">
        <is>
          <t>Non trouvé dans les sources publiques</t>
        </is>
      </c>
      <c r="J7" s="6" t="inlineStr">
        <is>
          <t>Non trouvé dans les sources publiques</t>
        </is>
      </c>
      <c r="K7" s="6" t="inlineStr">
        <is>
          <t>Des « petites molécules essentielles » au cœur de l'industrie, de la santé et de la transition énergétique (hydrogène bas carbone).</t>
        </is>
      </c>
    </row>
    <row r="8">
      <c r="A8" s="7" t="inlineStr">
        <is>
          <t>ArcelorMittal</t>
        </is>
      </c>
      <c r="B8" s="9" t="inlineStr">
        <is>
          <t>CAC 40</t>
        </is>
      </c>
      <c r="C8" s="9" t="inlineStr">
        <is>
          <t>https://france.arcelormittal.com/contacts/espace-media</t>
        </is>
      </c>
      <c r="D8" s="9" t="inlineStr">
        <is>
          <t>Espace média France tenu par l'agence Image 7 (adresse et téléphone génériques). Au niveau groupe, contacts communication par région.</t>
        </is>
      </c>
      <c r="E8" s="9" t="inlineStr">
        <is>
          <t>Aditya Mittal, directeur général (Lakshmi Mittal, président exécutif)</t>
        </is>
      </c>
      <c r="F8" s="9" t="inlineStr">
        <is>
          <t>Non trouvé dans les sources publiques</t>
        </is>
      </c>
      <c r="G8" s="9" t="inlineStr">
        <is>
          <t>non relevé</t>
        </is>
      </c>
      <c r="H8" s="9" t="inlineStr">
        <is>
          <t>Non trouvé dans les sources publiques</t>
        </is>
      </c>
      <c r="I8" s="9" t="inlineStr">
        <is>
          <t>Non trouvé dans les sources publiques</t>
        </is>
      </c>
      <c r="J8" s="9" t="inlineStr">
        <is>
          <t>2025 : forte polémique en France sur l'avenir des sites (arrêt d'un haut-fourneau à Dunkerque en mars 2025, débat sur la nationalisation, refusée par le Sénat en octobre 2025). Le groupe répond par l'investissement : 1,3 Md€ dans un four électrique à Dunkerque, confirmé le 10/02/2026 en présence d'Emmanuel Macron.</t>
        </is>
      </c>
      <c r="K8" s="9" t="inlineStr">
        <is>
          <t>Un acier plus intelligent et décarboné pour les gens et la planète.</t>
        </is>
      </c>
    </row>
    <row r="9">
      <c r="A9" s="4" t="inlineStr">
        <is>
          <t>AXA</t>
        </is>
      </c>
      <c r="B9" s="6" t="inlineStr">
        <is>
          <t>CAC 40</t>
        </is>
      </c>
      <c r="C9" s="6" t="inlineStr">
        <is>
          <t>https://axa.com/fr/presse/communiques-de-presse</t>
        </is>
      </c>
      <c r="D9" s="6" t="inlineStr">
        <is>
          <t>Communiqués en PDF téléchargeables avec horodatage et contacts presse, publications (document d'enregistrement universel).</t>
        </is>
      </c>
      <c r="E9" s="6" t="inlineStr">
        <is>
          <t>Thomas Buberl, directeur général</t>
        </is>
      </c>
      <c r="F9" s="6" t="inlineStr">
        <is>
          <t>Non trouvé dans les sources publiques</t>
        </is>
      </c>
      <c r="G9" s="6" t="inlineStr">
        <is>
          <t>non relevé</t>
        </is>
      </c>
      <c r="H9" s="6" t="inlineStr">
        <is>
          <t>Non trouvé dans les sources publiques</t>
        </is>
      </c>
      <c r="I9" s="6" t="inlineStr">
        <is>
          <t>Brand Finance Global 500 2025 : 100e (118e en 2024), d'après la reprise du classement par merca20 ; Interbrand Best Global Brands 2025 : valeur 18,3 Md$ (rang non lu)</t>
        </is>
      </c>
      <c r="J9" s="6" t="inlineStr">
        <is>
          <t>Non trouvé dans les sources publiques</t>
        </is>
      </c>
      <c r="K9" s="6" t="inlineStr">
        <is>
          <t>Passer du rôle de payeur à celui de partenaire qui donne confiance pour avancer.</t>
        </is>
      </c>
    </row>
    <row r="10">
      <c r="A10" s="7" t="inlineStr">
        <is>
          <t>BNP Paribas</t>
        </is>
      </c>
      <c r="B10" s="9" t="inlineStr">
        <is>
          <t>CAC 40</t>
        </is>
      </c>
      <c r="C10" s="9" t="inlineStr">
        <is>
          <t>https://group.bnpparibas/en/mediaroom</t>
        </is>
      </c>
      <c r="D10" s="9" t="inlineStr">
        <is>
          <t>Salle de presse avec les communiqués et la liste des contacts presse, plus un site d'archives historiques (histoire.bnpparibas).</t>
        </is>
      </c>
      <c r="E10" s="9" t="inlineStr">
        <is>
          <t>Jean-Laurent Bonnafé, administrateur directeur général</t>
        </is>
      </c>
      <c r="F10" s="9" t="inlineStr">
        <is>
          <t>Non trouvé dans les sources publiques</t>
        </is>
      </c>
      <c r="G10" s="9" t="inlineStr">
        <is>
          <t>X : compte @BNPParibas lié depuis le site ; abonnés non relevés</t>
        </is>
      </c>
      <c r="H10" s="9" t="inlineStr">
        <is>
          <t>histoire.bnpparibas (site éditorial sur l'histoire du groupe)</t>
        </is>
      </c>
      <c r="I10" s="9" t="inlineStr">
        <is>
          <t>Non trouvé dans les sources publiques</t>
        </is>
      </c>
      <c r="J10" s="9" t="inlineStr">
        <is>
          <t>Octobre 2025 : un jury fédéral de New York juge BNP Paribas responsable d'avoir aidé le régime soudanais d'Omar el-Béchir (environ 21 M$ à trois plaignants) ; l'action perd plus de 7 % le 20/10/2025. La réponse de la banque n'a pas été relevée ici.</t>
        </is>
      </c>
      <c r="K10" s="9" t="inlineStr">
        <is>
          <t>Financer une économie responsable et durable en conseillant ses clients de façon éthique.</t>
        </is>
      </c>
    </row>
    <row r="11">
      <c r="A11" s="4" t="inlineStr">
        <is>
          <t>Bouygues</t>
        </is>
      </c>
      <c r="B11" s="6" t="inlineStr">
        <is>
          <t>CAC 40</t>
        </is>
      </c>
      <c r="C11" s="6" t="inlineStr">
        <is>
          <t>https://www.bouygues.com/communiques-de-presse</t>
        </is>
      </c>
      <c r="D11" s="6" t="inlineStr">
        <is>
          <t>Newsroom avec communiqués certifiés par Wiztrust (blockchain) et contacts presse nommés (ex. Maylis Çarçabal).</t>
        </is>
      </c>
      <c r="E11" s="6" t="inlineStr">
        <is>
          <t>Olivier Roussat, directeur général délégué du groupe et PDG de Bouygues Telecom (fonctions lues sur bouygues.com ; la direction générale du groupe n'a pas été vérifiée)</t>
        </is>
      </c>
      <c r="F11" s="6" t="inlineStr">
        <is>
          <t>Non trouvé dans les sources publiques</t>
        </is>
      </c>
      <c r="G11" s="6" t="inlineStr">
        <is>
          <t>X : @GroupeBouygues, cité dans les documents financiers ; abonnés non relevés</t>
        </is>
      </c>
      <c r="H11" s="6" t="inlineStr">
        <is>
          <t>Non trouvé dans les sources publiques</t>
        </is>
      </c>
      <c r="I11" s="6" t="inlineStr">
        <is>
          <t>Brand Finance Telecoms 150 2026 : Bouygues Telecom 40e (-5)</t>
        </is>
      </c>
      <c r="J11" s="6" t="inlineStr">
        <is>
          <t>Non trouvé dans les sources publiques</t>
        </is>
      </c>
      <c r="K11" s="6" t="inlineStr">
        <is>
          <t>Un groupe diversifié de 200 000 personnes, porté par une culture forte et par le progrès humain au quotidien ; actualité 2026 dominée par le rachat de SFR avec Orange et Iliad.</t>
        </is>
      </c>
    </row>
    <row r="12">
      <c r="A12" s="7" t="inlineStr">
        <is>
          <t>Bureau Veritas</t>
        </is>
      </c>
      <c r="B12" s="9" t="inlineStr">
        <is>
          <t>CAC 40</t>
        </is>
      </c>
      <c r="C12" s="9" t="inlineStr">
        <is>
          <t>https://group.bureauveritas.com/newsroom</t>
        </is>
      </c>
      <c r="D12" s="9" t="inlineStr">
        <is>
          <t>Newsroom (communiqués, gouvernance) ; communiqués diffusés aussi par GlobeNewswire ; magazine éditorial sur bureauveritas.fr.</t>
        </is>
      </c>
      <c r="E12" s="9" t="inlineStr">
        <is>
          <t>Hinda Gharbi, directrice générale</t>
        </is>
      </c>
      <c r="F12" s="9" t="inlineStr">
        <is>
          <t>Non trouvé dans les sources publiques</t>
        </is>
      </c>
      <c r="G12" s="9" t="inlineStr">
        <is>
          <t>LinkedIn : 1 792 611 abonnés, lu sur un extrait de la page LinkedIn le 24/10/2026 ; Instagram et YouTube présents (abonnés non relevés)</t>
        </is>
      </c>
      <c r="H12" s="9" t="inlineStr">
        <is>
          <t>Magazine Bureau Veritas (bureauveritas.fr/magazine)</t>
        </is>
      </c>
      <c r="I12" s="9" t="inlineStr">
        <is>
          <t>Non trouvé dans les sources publiques</t>
        </is>
      </c>
      <c r="J12" s="9" t="inlineStr">
        <is>
          <t>Non trouvé dans les sources publiques</t>
        </is>
      </c>
      <c r="K12" s="9" t="inlineStr">
        <is>
          <t>Le tiers de confiance « business to business to society » qui garantit un progrès responsable.</t>
        </is>
      </c>
    </row>
    <row r="13">
      <c r="A13" s="4" t="inlineStr">
        <is>
          <t>Capgemini</t>
        </is>
      </c>
      <c r="B13" s="6" t="inlineStr">
        <is>
          <t>CAC 40</t>
        </is>
      </c>
      <c r="C13" s="6" t="inlineStr">
        <is>
          <t>https://www.capgemini.com/fr-fr/actualites/communiques-de-presse</t>
        </is>
      </c>
      <c r="D13" s="6" t="inlineStr">
        <is>
          <t>Communiqués ; bureau de presse mondial et contacts presse locaux.</t>
        </is>
      </c>
      <c r="E13" s="6" t="inlineStr">
        <is>
          <t>Aiman Ezzat, directeur général</t>
        </is>
      </c>
      <c r="F13" s="6" t="inlineStr">
        <is>
          <t>Non trouvé dans les sources publiques</t>
        </is>
      </c>
      <c r="G13" s="6" t="inlineStr">
        <is>
          <t>LinkedIn : 2 549 271 abonnés, chiffre lu sur une page tierce non fiable, à vérifier ; autres réseaux non relevés</t>
        </is>
      </c>
      <c r="H13" s="6" t="inlineStr">
        <is>
          <t>Non trouvé dans les sources publiques</t>
        </is>
      </c>
      <c r="I13" s="6" t="inlineStr">
        <is>
          <t>Non trouvé dans les sources publiques</t>
        </is>
      </c>
      <c r="J13" s="6" t="inlineStr">
        <is>
          <t>2026 : polémique sur un contrat de sa filiale Capgemini Government Solutions avec la police américaine de l'immigration (ICE). Le groupe annonce la vente de la filiale le 1er février 2026, puis la cède à ITC Federal (accord du 12 septembre 2026).</t>
        </is>
      </c>
      <c r="K13" s="6" t="inlineStr">
        <is>
          <t>La technologie au service des gens pour « obtenir l'avenir que l'on veut », désormais centrée sur l'IA.</t>
        </is>
      </c>
    </row>
    <row r="14">
      <c r="A14" s="7" t="inlineStr">
        <is>
          <t>Carrefour</t>
        </is>
      </c>
      <c r="B14" s="9" t="inlineStr">
        <is>
          <t>CAC 40</t>
        </is>
      </c>
      <c r="C14" s="9" t="inlineStr">
        <is>
          <t>https://www.carrefour.com/fr</t>
        </is>
      </c>
      <c r="D14" s="9" t="inlineStr">
        <is>
          <t>Communiqués en PDF sur carrefour.com ; adresse presse générique presse_groupe@carrefour.com et téléphone 01 58 47 88 80.</t>
        </is>
      </c>
      <c r="E14" s="9" t="inlineStr">
        <is>
          <t>Alexandre Bompard, président-directeur général</t>
        </is>
      </c>
      <c r="F14" s="9" t="inlineStr">
        <is>
          <t>oui (profil « Président Directeur Général – Carrefour »), abonnés non lus</t>
        </is>
      </c>
      <c r="G14" s="9" t="inlineStr">
        <is>
          <t>non relevé</t>
        </is>
      </c>
      <c r="H14" s="9" t="inlineStr">
        <is>
          <t>Non trouvé dans les sources publiques</t>
        </is>
      </c>
      <c r="I14" s="9" t="inlineStr">
        <is>
          <t>Non trouvé dans les sources publiques</t>
        </is>
      </c>
      <c r="J14" s="9" t="inlineStr">
        <is>
          <t>Décembre 2025 : affaire « Léonie », caissière de Carrefour Laval licenciée puis condamnée après des vidéos TikTok devenues virales. La réponse du groupe n'a pas été relevée.</t>
        </is>
      </c>
      <c r="K14" s="9" t="inlineStr">
        <is>
          <t>Leader de la « transition alimentaire pour tous » : bien manger au meilleur prix (plan Carrefour 2030).</t>
        </is>
      </c>
    </row>
    <row r="15">
      <c r="A15" s="4" t="inlineStr">
        <is>
          <t>Crédit Agricole</t>
        </is>
      </c>
      <c r="B15" s="6" t="inlineStr">
        <is>
          <t>CAC 40</t>
        </is>
      </c>
      <c r="C15" s="6" t="inlineStr">
        <is>
          <t>https://presse.credit-agricole.com/section/contacts/?lang=fra</t>
        </is>
      </c>
      <c r="D15" s="6" t="inlineStr">
        <is>
          <t>Site presse dédié avec contacts nommés (ex. Alexandre Barat, responsable des relations presse de Crédit Agricole S.A.) ; espace presse séparé pour la Fédération nationale (creditagricole.info).</t>
        </is>
      </c>
      <c r="E15" s="6" t="inlineStr">
        <is>
          <t>Olivier Gavalda, directeur général de Crédit Agricole S.A. depuis mai 2025</t>
        </is>
      </c>
      <c r="F15" s="6" t="inlineStr">
        <is>
          <t>Non trouvé dans les sources publiques</t>
        </is>
      </c>
      <c r="G15" s="6" t="inlineStr">
        <is>
          <t>non relevé</t>
        </is>
      </c>
      <c r="H15" s="6" t="inlineStr">
        <is>
          <t>« Tout un mag », magazine de conseils sur credit-agricole.fr</t>
        </is>
      </c>
      <c r="I15" s="6" t="inlineStr">
        <is>
          <t>Non trouvé dans les sources publiques</t>
        </is>
      </c>
      <c r="J15" s="6" t="inlineStr">
        <is>
          <t>Septembre 2025 : le groupe accepte une amende dans l'affaire de fraude aux dividendes (CumCum), première banque française à le faire. Février 2026 : la BCE lui inflige des astreintes pour une évaluation insuffisante de ses risques climatiques.</t>
        </is>
      </c>
      <c r="K15" s="6" t="inlineStr">
        <is>
          <t>Une banque universelle de proximité, mutualiste, utile à ses clients et aux territoires.</t>
        </is>
      </c>
    </row>
    <row r="16">
      <c r="A16" s="7" t="inlineStr">
        <is>
          <t>Danone</t>
        </is>
      </c>
      <c r="B16" s="9" t="inlineStr">
        <is>
          <t>CAC 40</t>
        </is>
      </c>
      <c r="C16" s="9" t="inlineStr">
        <is>
          <t>https://www.danone.com/fr/fr.html</t>
        </is>
      </c>
      <c r="D16" s="9" t="inlineStr">
        <is>
          <t>Communiqués de presse en PDF sur danone.com (ex. Volvic, 28/09/2026) ; documents investisseurs ; organisation complète de l'espace média non relevée.</t>
        </is>
      </c>
      <c r="E16" s="9" t="inlineStr">
        <is>
          <t>Antoine de Saint-Affrique, directeur général</t>
        </is>
      </c>
      <c r="F16" s="9" t="inlineStr">
        <is>
          <t>Non trouvé dans les sources publiques</t>
        </is>
      </c>
      <c r="G16" s="9" t="inlineStr">
        <is>
          <t>LinkedIn : 4 109 412 abonnés, lu sur un extrait de la page LinkedIn le 24/10/2026 ; autres réseaux non relevés</t>
        </is>
      </c>
      <c r="H16" s="9" t="inlineStr">
        <is>
          <t>Non trouvé dans les sources publiques</t>
        </is>
      </c>
      <c r="I16" s="9" t="inlineStr">
        <is>
          <t>Non trouvé dans les sources publiques</t>
        </is>
      </c>
      <c r="J16" s="9" t="inlineStr">
        <is>
          <t>Début 2026 : rappel de laits infantiles, que Danone présente dans sa lettre aux actionnaires du 1er trimestre 2026 comme un facteur d'impact. Par ailleurs, accord amiable avec ClientEarth, Surfrider et Zero Waste France pour clore l'action en justice sur le plastique (devoir de vigilance).</t>
        </is>
      </c>
      <c r="K16" s="9" t="inlineStr">
        <is>
          <t>La santé par l'alimentation (« Renew Danone »), avec un portefeuille recentré sur la santé.</t>
        </is>
      </c>
    </row>
    <row r="17">
      <c r="A17" s="4" t="inlineStr">
        <is>
          <t>Dassault Systèmes</t>
        </is>
      </c>
      <c r="B17" s="6" t="inlineStr">
        <is>
          <t>CAC 40</t>
        </is>
      </c>
      <c r="C17" s="6" t="inlineStr">
        <is>
          <t>https://www.3ds.com/newsroom</t>
        </is>
      </c>
      <c r="D17" s="6" t="inlineStr">
        <is>
          <t>Newsroom (communiqués, dont la diffusion GlobeNewswire) ; détail des contacts non relevé.</t>
        </is>
      </c>
      <c r="E17" s="6" t="inlineStr">
        <is>
          <t>Pascal Daloz, directeur général</t>
        </is>
      </c>
      <c r="F17" s="6" t="inlineStr">
        <is>
          <t>Non trouvé dans les sources publiques</t>
        </is>
      </c>
      <c r="G17" s="6" t="inlineStr">
        <is>
          <t>non relevé</t>
        </is>
      </c>
      <c r="H17" s="6" t="inlineStr">
        <is>
          <t>Non trouvé dans les sources publiques</t>
        </is>
      </c>
      <c r="I17" s="6" t="inlineStr">
        <is>
          <t>Non trouvé dans les sources publiques</t>
        </is>
      </c>
      <c r="J17" s="6" t="inlineStr">
        <is>
          <t>11 février 2026 : l'action chute de 20,81 % après des résultats 2025 jugés décevants, sa pire séance depuis l'entrée en bourse en 1996. La réponse du groupe passe par le récit « 3D UNIV+RSES » et l'IA.</t>
        </is>
      </c>
      <c r="K17" s="6" t="inlineStr">
        <is>
          <t>Des univers virtuels pour la vie réelle : jumeaux virtuels et IA au service d'une innovation durable (3D UNIV+RSES).</t>
        </is>
      </c>
    </row>
    <row r="18">
      <c r="A18" s="7" t="inlineStr">
        <is>
          <t>Eiffage</t>
        </is>
      </c>
      <c r="B18" s="9" t="inlineStr">
        <is>
          <t>CAC 40</t>
        </is>
      </c>
      <c r="C18" s="9" t="inlineStr">
        <is>
          <t>https://www.eiffage.com</t>
        </is>
      </c>
      <c r="D18" s="9" t="inlineStr">
        <is>
          <t>Communiqués et résultats sur eiffage.com ; organisation de l'espace presse non relevée.</t>
        </is>
      </c>
      <c r="E18" s="9" t="inlineStr">
        <is>
          <t>Benoît de Ruffray, président-directeur général</t>
        </is>
      </c>
      <c r="F18" s="9" t="inlineStr">
        <is>
          <t>Non trouvé dans les sources publiques</t>
        </is>
      </c>
      <c r="G18" s="9" t="inlineStr">
        <is>
          <t>non relevé</t>
        </is>
      </c>
      <c r="H18" s="9" t="inlineStr">
        <is>
          <t>Non trouvé dans les sources publiques</t>
        </is>
      </c>
      <c r="I18" s="9" t="inlineStr">
        <is>
          <t>Non trouvé dans les sources publiques</t>
        </is>
      </c>
      <c r="J18" s="9" t="inlineStr">
        <is>
          <t>3 juillet 2025 : Eiffage Génie civil est condamné à 200 000 € d'amende pour la mort d'un chauffeur de camion en 2023 sur un chantier du Grand Paris Express. Réponse du groupe non relevée.</t>
        </is>
      </c>
      <c r="K18" s="9" t="inlineStr">
        <is>
          <t>Un acteur de référence d'une Europe bas carbone, appuyé sur l'intelligence collective.</t>
        </is>
      </c>
    </row>
    <row r="19">
      <c r="A19" s="4" t="inlineStr">
        <is>
          <t>Engie</t>
        </is>
      </c>
      <c r="B19" s="6" t="inlineStr">
        <is>
          <t>CAC 40</t>
        </is>
      </c>
      <c r="C19" s="6" t="inlineStr">
        <is>
          <t>https://en.newsroom.engie.com</t>
        </is>
      </c>
      <c r="D19" s="6" t="inlineStr">
        <is>
          <t>Newsroom dédiée (communiqués, visuels) et médiathèque (mediacenter.engie.com).</t>
        </is>
      </c>
      <c r="E19" s="6" t="inlineStr">
        <is>
          <t>Catherine MacGregor, directrice générale</t>
        </is>
      </c>
      <c r="F19" s="6" t="inlineStr">
        <is>
          <t>oui (profil LinkedIn lié depuis engie.com), abonnés non lus</t>
        </is>
      </c>
      <c r="G19" s="6" t="inlineStr">
        <is>
          <t>non relevé</t>
        </is>
      </c>
      <c r="H19" s="6" t="inlineStr">
        <is>
          <t>Non trouvé dans les sources publiques</t>
        </is>
      </c>
      <c r="I19" s="6" t="inlineStr">
        <is>
          <t>Non trouvé dans les sources publiques</t>
        </is>
      </c>
      <c r="J19" s="6" t="inlineStr">
        <is>
          <t>Non trouvé dans les sources publiques</t>
        </is>
      </c>
      <c r="K19" s="6" t="inlineStr">
        <is>
          <t>Un leader de la transition énergétique : renouvelables, flexibilité et réseaux (rachat de UK Power Networks).</t>
        </is>
      </c>
    </row>
    <row r="20">
      <c r="A20" s="7" t="inlineStr">
        <is>
          <t>EssilorLuxottica</t>
        </is>
      </c>
      <c r="B20" s="9" t="inlineStr">
        <is>
          <t>CAC 40</t>
        </is>
      </c>
      <c r="C20" s="9" t="inlineStr">
        <is>
          <t>https://www.essilorluxottica.com/en/newsroom/</t>
        </is>
      </c>
      <c r="D20" s="9" t="inlineStr">
        <is>
          <t>Newsroom avec communiqués, galerie d'images et contacts nommés (Marco Catalani, directeur de la communication corporate ; adresse media@essilorluxottica.com).</t>
        </is>
      </c>
      <c r="E20" s="9" t="inlineStr">
        <is>
          <t>Francesco Milleri, président-directeur général</t>
        </is>
      </c>
      <c r="F20" s="9" t="inlineStr">
        <is>
          <t>Non trouvé dans les sources publiques</t>
        </is>
      </c>
      <c r="G20" s="9" t="inlineStr">
        <is>
          <t>LinkedIn : 1 425 169 abonnés, chiffre lu sur un agrégateur tiers (icebreaker) le 24/10/2026 ; autres réseaux non relevés</t>
        </is>
      </c>
      <c r="H20" s="9" t="inlineStr">
        <is>
          <t>Non trouvé dans les sources publiques</t>
        </is>
      </c>
      <c r="I20" s="9" t="inlineStr">
        <is>
          <t>Non trouvé dans les sources publiques</t>
        </is>
      </c>
      <c r="J20" s="9" t="inlineStr">
        <is>
          <t>Non trouvé dans les sources publiques</t>
        </is>
      </c>
      <c r="K20" s="9" t="inlineStr">
        <is>
          <t>Une entreprise de la med-tech et des lunettes connectées (Ray-Ban Meta) au service de la santé visuelle mondiale.</t>
        </is>
      </c>
    </row>
    <row r="21">
      <c r="A21" s="4" t="inlineStr">
        <is>
          <t>Eurofins Scientific</t>
        </is>
      </c>
      <c r="B21" s="6" t="inlineStr">
        <is>
          <t>CAC 40</t>
        </is>
      </c>
      <c r="C21" s="6" t="inlineStr">
        <is>
          <t>https://eurofins.com/media-centre</t>
        </is>
      </c>
      <c r="D21" s="6" t="inlineStr">
        <is>
          <t>Media centre (communiqués, newsletters BioPharma, salons) ; contact investisseurs générique ir@sc.eurofinseu.com.</t>
        </is>
      </c>
      <c r="E21" s="6" t="inlineStr">
        <is>
          <t>Dr Gilles Martin, président-directeur général et fondateur</t>
        </is>
      </c>
      <c r="F21" s="6" t="inlineStr">
        <is>
          <t>Non trouvé dans les sources publiques</t>
        </is>
      </c>
      <c r="G21" s="6" t="inlineStr">
        <is>
          <t>non relevé</t>
        </is>
      </c>
      <c r="H21" s="6" t="inlineStr">
        <is>
          <t>Non trouvé dans les sources publiques</t>
        </is>
      </c>
      <c r="I21" s="6" t="inlineStr">
        <is>
          <t>Non trouvé dans les sources publiques</t>
        </is>
      </c>
      <c r="J21" s="6" t="inlineStr">
        <is>
          <t>Juin–juillet 2024 : le fonds vendeur à découvert Muddy Waters accuse le groupe de pratiques comptables et de gouvernance douteuses. Eurofins publie plusieurs démentis point par point (25 juin, 3 et 5 juillet 2024) qualifiant les accusations de « sans fondement ».</t>
        </is>
      </c>
      <c r="K21" s="6" t="inlineStr">
        <is>
          <t>Le leader mondial des tests « pour la vie » : sécurité alimentaire, environnement, santé.</t>
        </is>
      </c>
    </row>
    <row r="22">
      <c r="A22" s="7" t="inlineStr">
        <is>
          <t>Euronext</t>
        </is>
      </c>
      <c r="B22" s="9" t="inlineStr">
        <is>
          <t>CAC 40</t>
        </is>
      </c>
      <c r="C22" s="9" t="inlineStr">
        <is>
          <t>https://www.euronext.com/en/about/media/euronext-press-releases</t>
        </is>
      </c>
      <c r="D22" s="9" t="inlineStr">
        <is>
          <t>Communiqués du groupe et des marchés, en plusieurs langues.</t>
        </is>
      </c>
      <c r="E22" s="9" t="inlineStr">
        <is>
          <t>Stéphane Boujnah, directeur général et président du directoire</t>
        </is>
      </c>
      <c r="F22" s="9" t="inlineStr">
        <is>
          <t>oui (profil « CEO &amp; Chairman of the Managing Board »), abonnés non lus</t>
        </is>
      </c>
      <c r="G22" s="9" t="inlineStr">
        <is>
          <t>non relevé</t>
        </is>
      </c>
      <c r="H22" s="9" t="inlineStr">
        <is>
          <t>Non trouvé dans les sources publiques</t>
        </is>
      </c>
      <c r="I22" s="9" t="inlineStr">
        <is>
          <t>Non trouvé dans les sources publiques</t>
        </is>
      </c>
      <c r="J22" s="9" t="inlineStr">
        <is>
          <t>Non trouvé dans les sources publiques</t>
        </is>
      </c>
      <c r="K22" s="9" t="inlineStr">
        <is>
          <t>Bâtir l'infrastructure de marché européenne de référence et financer l'économie réelle (plan « Innovate for Growth 2027 »).</t>
        </is>
      </c>
    </row>
    <row r="23">
      <c r="A23" s="4" t="inlineStr">
        <is>
          <t>Hermès</t>
        </is>
      </c>
      <c r="B23" s="6" t="inlineStr">
        <is>
          <t>CAC 40</t>
        </is>
      </c>
      <c r="C23" s="6" t="inlineStr">
        <is>
          <t>Non trouvé dans les sources publiques</t>
        </is>
      </c>
      <c r="D23" s="6" t="inlineStr">
        <is>
          <t>Pas d'espace presse groupe identifié. Communication financière sur finance.hermes.com. Contacts presse nommés relevés sur le site de l'événement Saut Hermès (Sophie Seibel-Traonouïl, service de presse d'Hermès International).</t>
        </is>
      </c>
      <c r="E23" s="6" t="inlineStr">
        <is>
          <t>Axel Dumas, gérant</t>
        </is>
      </c>
      <c r="F23" s="6" t="inlineStr">
        <is>
          <t>Non trouvé dans les sources publiques</t>
        </is>
      </c>
      <c r="G23" s="6" t="inlineStr">
        <is>
          <t>LinkedIn : 2 045 631 abonnés, chiffre lu sur un agrégateur tiers (icebreaker) le 24/10/2026 ; autres réseaux non relevés</t>
        </is>
      </c>
      <c r="H23" s="6" t="inlineStr">
        <is>
          <t>Non trouvé dans les sources publiques</t>
        </is>
      </c>
      <c r="I23" s="6" t="inlineStr">
        <is>
          <t>Kantar BrandZ 2025 : 18e marque mondiale (Top 100) et plus forte progression du Top 50 des marques françaises 2025, 2e derrière Louis Vuitton</t>
        </is>
      </c>
      <c r="J23" s="6" t="inlineStr">
        <is>
          <t>Non trouvé dans les sources publiques</t>
        </is>
      </c>
      <c r="K23" s="6" t="inlineStr">
        <is>
          <t>L'artisan contemporain : savoir-faire, indépendance familiale et luxe discret qui résiste au ralentissement du marché.</t>
        </is>
      </c>
    </row>
    <row r="24">
      <c r="A24" s="7" t="inlineStr">
        <is>
          <t>Kering</t>
        </is>
      </c>
      <c r="B24" s="9" t="inlineStr">
        <is>
          <t>CAC 40</t>
        </is>
      </c>
      <c r="C24" s="9" t="inlineStr">
        <is>
          <t>http://kering.com/en/press/contacts</t>
        </is>
      </c>
      <c r="D24" s="9" t="inlineStr">
        <is>
          <t>Rubrique presse avec contact générique (press@kering.com, téléphone) et contacts presse par maison (ex. press@gucci.com) ; publications financières.</t>
        </is>
      </c>
      <c r="E24" s="9" t="inlineStr">
        <is>
          <t>Luca de Meo, directeur général (depuis 2025 ; François-Henri Pinault reste président du conseil)</t>
        </is>
      </c>
      <c r="F24" s="9" t="inlineStr">
        <is>
          <t>Non trouvé dans les sources publiques</t>
        </is>
      </c>
      <c r="G24" s="9" t="inlineStr">
        <is>
          <t>LinkedIn : 851 000 abonnés, chiffre lu sur un agrégateur tiers (icebreaker) le 24/10/2026 ; autres réseaux non relevés</t>
        </is>
      </c>
      <c r="H24" s="9" t="inlineStr">
        <is>
          <t>podcasts « Fashion Our Future » et « Women In Motion »</t>
        </is>
      </c>
      <c r="I24" s="9" t="inlineStr">
        <is>
          <t>Non trouvé dans les sources publiques</t>
        </is>
      </c>
      <c r="J24" s="9" t="inlineStr">
        <is>
          <t>2025–2026 : chute des ventes de Gucci et forte dépendance du groupe à cette maison. Réponse : séparation des fonctions de président et de directeur général, arrivée de Luca de Meo, plan « ReconKering » présenté le 16 avril 2026.</t>
        </is>
      </c>
      <c r="K24" s="9" t="inlineStr">
        <is>
          <t>Le redressement par la désirabilité retrouvée des maisons (ReconKering), dans un luxe créatif et responsable.</t>
        </is>
      </c>
    </row>
    <row r="25">
      <c r="A25" s="4" t="inlineStr">
        <is>
          <t>Legrand</t>
        </is>
      </c>
      <c r="B25" s="6" t="inlineStr">
        <is>
          <t>CAC 40</t>
        </is>
      </c>
      <c r="C25" s="6" t="inlineStr">
        <is>
          <t>https://www.legrand.com/fr/espace-presse</t>
        </is>
      </c>
      <c r="D25" s="6" t="inlineStr">
        <is>
          <t>Salle de presse « ouverte 24h/24 » : news et communiqués, dossiers de presse, contacts presse ; communiqués de nominations signés avec un contact d'agence (TBWA Corporate).</t>
        </is>
      </c>
      <c r="E25" s="6" t="inlineStr">
        <is>
          <t>Benoît Coquart, Directeur général</t>
        </is>
      </c>
      <c r="F25" s="6" t="inlineStr">
        <is>
          <t>Non trouvé dans les sources publiques</t>
        </is>
      </c>
      <c r="G25" s="6" t="inlineStr">
        <is>
          <t>LinkedIn Legrand : 249 860 abonnés (lu dans l'extrait de recherche de la page LinkedIn, consulté le 24/10/2026 (date de l'index inconnue)). Legrand France : 65 552 abonnés. X, Instagram, YouTube, TikTok : non relevé.</t>
        </is>
      </c>
      <c r="H25" s="6" t="inlineStr">
        <is>
          <t>Non trouvé dans les sources publiques</t>
        </is>
      </c>
      <c r="I25" s="6" t="inlineStr">
        <is>
          <t>Non trouvé dans les sources publiques</t>
        </is>
      </c>
      <c r="J25" s="6" t="inlineStr">
        <is>
          <t>Mai 2026 : annonce de la fermeture de quatre sites français et de 178 suppressions de postes d'ici 2028 ; réponse publique de l'entreprise non relevée.</t>
        </is>
      </c>
      <c r="K25" s="6" t="inlineStr">
        <is>
          <t>Un spécialiste mondial des infrastructures électriques et numériques qui accompagne les transitions technologique, sociétale et environnementale du bâtiment.</t>
        </is>
      </c>
    </row>
    <row r="26">
      <c r="A26" s="7" t="inlineStr">
        <is>
          <t>L'Oréal</t>
        </is>
      </c>
      <c r="B26" s="9" t="inlineStr">
        <is>
          <t>CAC 40</t>
        </is>
      </c>
      <c r="C26" s="9" t="inlineStr">
        <is>
          <t>https://loreal.com/fr/mediaroom</t>
        </is>
      </c>
      <c r="D26" s="9" t="inlineStr">
        <is>
          <t>Mediaroom : communiqués de presse et publications officielles du groupe ; communiqués certifiés (kit Wiztrust visible sur la page).</t>
        </is>
      </c>
      <c r="E26" s="9" t="inlineStr">
        <is>
          <t>Nicolas Hieronimus, Directeur général</t>
        </is>
      </c>
      <c r="F26" s="9" t="inlineStr">
        <is>
          <t>Non trouvé dans les sources publiques</t>
        </is>
      </c>
      <c r="G26" s="9" t="inlineStr">
        <is>
          <t>LinkedIn : 7 113 765 abonnés (lu dans l'extrait de recherche de la page LinkedIn, consulté le 24/10/2026 (date de l'index inconnue)). Instagram @lorealgroupe : 958 000 abonnés (lu dans l'extrait de la page Instagram). X @LOrealGroupe : présent (21,1 k publications). YouTube, TikTok : non relevé.</t>
        </is>
      </c>
      <c r="H26" s="9" t="inlineStr">
        <is>
          <t>Non trouvé dans les sources publiques</t>
        </is>
      </c>
      <c r="I26" s="9" t="inlineStr">
        <is>
          <t>Non trouvé dans les sources publiques</t>
        </is>
      </c>
      <c r="J26" s="9" t="inlineStr">
        <is>
          <t>Non trouvé dans les sources publiques</t>
        </is>
      </c>
      <c r="K26" s="9" t="inlineStr">
        <is>
          <t>Numéro un mondial de la beauté, présenté comme l'entreprise la plus innovante d'Europe et engagée dans une transformation par acquisitions et beauty tech.</t>
        </is>
      </c>
    </row>
    <row r="27">
      <c r="A27" s="4" t="inlineStr">
        <is>
          <t>LVMH</t>
        </is>
      </c>
      <c r="B27" s="6" t="inlineStr">
        <is>
          <t>CAC 40</t>
        </is>
      </c>
      <c r="C27" s="6" t="inlineStr">
        <is>
          <t>https://lvmh.com/en/press</t>
        </is>
      </c>
      <c r="D27" s="6" t="inlineStr">
        <is>
          <t>Page presse avec contacts corporate nommés (Jean-Charles Tréhan, LVMH External Relations), formulaire de contact et standard ; communiqués et lettres aux actionnaires.</t>
        </is>
      </c>
      <c r="E27" s="6" t="inlineStr">
        <is>
          <t>Bernard Arnault, Président-Directeur général</t>
        </is>
      </c>
      <c r="F27" s="6" t="inlineStr">
        <is>
          <t>Non trouvé dans les sources publiques</t>
        </is>
      </c>
      <c r="G27" s="6" t="inlineStr">
        <is>
          <t>LinkedIn : 2 968 002 abonnés (lu dans l'extrait de recherche de la page LinkedIn, consulté le 24/10/2026 (date de l'index inconnue)). TikTok @lvmh : 1,5 M abonnés (lu sur la page TikTok). Instagram @lvmh : 1 559 178 abonnés (lu sur HypeAuditor). YouTube, X, Pinterest : présents (liens sur lvmh.com).</t>
        </is>
      </c>
      <c r="H27" s="6" t="inlineStr">
        <is>
          <t>Podcasts « Confidences Particulières » (Journées Particulières) et « Tips to the Top » ; événement de marque Les Journées Particulières.</t>
        </is>
      </c>
      <c r="I27" s="6" t="inlineStr">
        <is>
          <t>Brand Finance France 150 2026 : Louis Vuitton (Maison du groupe) 2e marque française, 25 Md€ (-15 %).</t>
        </is>
      </c>
      <c r="J27" s="6" t="inlineStr">
        <is>
          <t>Décembre 2025 : assignation de Nicolas Puech sur des actions Hermès et enquêtes de Mediapart ; LVMH publie le 3/12/2025 un communiqué dénonçant « une campagne de presse manifestement coordonnée » et réfute les accusations.</t>
        </is>
      </c>
      <c r="K27" s="6" t="inlineStr">
        <is>
          <t>Le leader mondial du luxe, gardien des savoir-faire et de la création française, solide malgré un contexte mondial perturbé.</t>
        </is>
      </c>
    </row>
    <row r="28">
      <c r="A28" s="7" t="inlineStr">
        <is>
          <t>Michelin</t>
        </is>
      </c>
      <c r="B28" s="9" t="inlineStr">
        <is>
          <t>CAC 40</t>
        </is>
      </c>
      <c r="C28" s="9" t="inlineStr">
        <is>
          <t>https://www.michelin.com/media/espace-presse</t>
        </is>
      </c>
      <c r="D28" s="9" t="inlineStr">
        <is>
          <t>Communiqués, dossiers de presse, porte-paroles, contact relations médias 24h/24 (adresse générique service de presse, réservée aux journalistes).</t>
        </is>
      </c>
      <c r="E28" s="9" t="inlineStr">
        <is>
          <t>Florent Menegaux, Président de la Gérance</t>
        </is>
      </c>
      <c r="F28" s="9" t="inlineStr">
        <is>
          <t>Non trouvé dans les sources publiques</t>
        </is>
      </c>
      <c r="G28" s="9" t="inlineStr">
        <is>
          <t>LinkedIn : 1 128 808 abonnés (lu dans l'extrait de recherche de la page LinkedIn, consulté le 24/10/2026 (date de l'index inconnue)). X, Instagram, YouTube, TikTok : non relevé.</t>
        </is>
      </c>
      <c r="H28" s="9" t="inlineStr">
        <is>
          <t>Rubrique magazine sur michelin.com.</t>
        </is>
      </c>
      <c r="I28" s="9" t="inlineStr">
        <is>
          <t>Brand Finance France 150 2026 : marque française la plus forte (indice de force 93,2/100, AAA+).</t>
        </is>
      </c>
      <c r="J28" s="9" t="inlineStr">
        <is>
          <t>Novembre 2024 : fermeture des usines de Cholet et Vannes ; Michelin annonce en parallèle des engagements de revitalisation des deux territoires.</t>
        </is>
      </c>
      <c r="K28" s="9" t="inlineStr">
        <is>
          <t>Michelin se présente comme un leader des matériaux composites qui « changent la vie », au-delà du pneu, au service d'une mobilité durable.</t>
        </is>
      </c>
    </row>
    <row r="29">
      <c r="A29" s="4" t="inlineStr">
        <is>
          <t>Orange</t>
        </is>
      </c>
      <c r="B29" s="6" t="inlineStr">
        <is>
          <t>CAC 40</t>
        </is>
      </c>
      <c r="C29" s="6" t="inlineStr">
        <is>
          <t>https://newsroom.orange.com</t>
        </is>
      </c>
      <c r="D29" s="6" t="inlineStr">
        <is>
          <t>Newsroom avec communiqués ; page contacts presse avec attachés nommés (Paris : Tom Wright, Emmanuel Gauthier, Mathilde Boistay, Nathalie Chevrier…).</t>
        </is>
      </c>
      <c r="E29" s="6" t="inlineStr">
        <is>
          <t>Christel Heydemann, Directrice générale</t>
        </is>
      </c>
      <c r="F29" s="6" t="inlineStr">
        <is>
          <t>Non trouvé dans les sources publiques</t>
        </is>
      </c>
      <c r="G29" s="6" t="inlineStr">
        <is>
          <t>LinkedIn : 1 244 205 abonnés (lu dans l'extrait de recherche de la page LinkedIn, consulté le 24/10/2026 (date de l'index inconnue)). X, Instagram, YouTube, TikTok : non relevé.</t>
        </is>
      </c>
      <c r="H29" s="6" t="inlineStr">
        <is>
          <t>Hello Future (site éditorial innovation et recherche).</t>
        </is>
      </c>
      <c r="I29" s="6" t="inlineStr">
        <is>
          <t>Valeur de marque de 18,9 Md$ selon Brand Finance, chiffre cité dans un document institutionnel Orange (édition non précisée).</t>
        </is>
      </c>
      <c r="J29" s="6" t="inlineStr">
        <is>
          <t>21 octobre 2026 : panne nationale majeure (attribuée par la presse à une migration ratée du cœur de réseau) ; Orange annonce le 22/10 un dédommagement de ses abonnés.</t>
        </is>
      </c>
      <c r="K29" s="6" t="inlineStr">
        <is>
          <t>L'opérateur de confiance, au cœur du plan « Trust the future » lancé en février 2026.</t>
        </is>
      </c>
    </row>
    <row r="30">
      <c r="A30" s="7" t="inlineStr">
        <is>
          <t>Pernod Ricard</t>
        </is>
      </c>
      <c r="B30" s="9" t="inlineStr">
        <is>
          <t>CAC 40</t>
        </is>
      </c>
      <c r="C30" s="9" t="inlineStr">
        <is>
          <t>https://www.pernod-ricard.com/fr/media</t>
        </is>
      </c>
      <c r="D30" s="9" t="inlineStr">
        <is>
          <t>Médias : communiqués filtrables par thème (investisseurs, culture et mécénat…) ; contact générique media.relations@pernod-ricard.com.</t>
        </is>
      </c>
      <c r="E30" s="9" t="inlineStr">
        <is>
          <t>Alexandre Ricard, Président-Directeur général (non revérifié pour 2026)</t>
        </is>
      </c>
      <c r="F30" s="9" t="inlineStr">
        <is>
          <t>Non trouvé dans les sources publiques</t>
        </is>
      </c>
      <c r="G30" s="9" t="inlineStr">
        <is>
          <t>LinkedIn : 971 392 abonnés (lu dans l'extrait de recherche de la page LinkedIn, consulté le 24/10/2026 (date de l'index inconnue)). X, Instagram, YouTube, TikTok : non relevé.</t>
        </is>
      </c>
      <c r="H30" s="9" t="inlineStr">
        <is>
          <t>Non trouvé dans les sources publiques</t>
        </is>
      </c>
      <c r="I30" s="9" t="inlineStr">
        <is>
          <t>Non trouvé dans les sources publiques</t>
        </is>
      </c>
      <c r="J30" s="9" t="inlineStr">
        <is>
          <t>Non trouvé dans les sources publiques</t>
        </is>
      </c>
      <c r="K30" s="9" t="inlineStr">
        <is>
          <t>Le premier groupe mondial de spiritueux premium, « créateur de convivialité » responsable.</t>
        </is>
      </c>
    </row>
    <row r="31">
      <c r="A31" s="4" t="inlineStr">
        <is>
          <t>Publicis Groupe</t>
        </is>
      </c>
      <c r="B31" s="6" t="inlineStr">
        <is>
          <t>CAC 40</t>
        </is>
      </c>
      <c r="C31" s="6" t="inlineStr">
        <is>
          <t>https://www.publicisgroupe.com/fr/news-fr/communiques-de-presse</t>
        </is>
      </c>
      <c r="D31" s="6" t="inlineStr">
        <is>
          <t>Communiqués de presse, kit média avec logos et charte, inscription à une newsletter ; contact nommé sur les communiqués : Amy Hadfield, Director of Global Communications.</t>
        </is>
      </c>
      <c r="E31" s="6" t="inlineStr">
        <is>
          <t>Arthur Sadoun, Président-Directeur général</t>
        </is>
      </c>
      <c r="F31" s="6" t="inlineStr">
        <is>
          <t>Non trouvé dans les sources publiques</t>
        </is>
      </c>
      <c r="G31" s="6" t="inlineStr">
        <is>
          <t>LinkedIn : 1 239 122 abonnés (lu dans l'extrait de recherche de la page LinkedIn, consulté le 24/10/2026 (date de l'index inconnue)). X, Instagram, YouTube, TikTok : non relevé.</t>
        </is>
      </c>
      <c r="H31" s="6" t="inlineStr">
        <is>
          <t>Non trouvé dans les sources publiques</t>
        </is>
      </c>
      <c r="I31" s="6" t="inlineStr">
        <is>
          <t>Non trouvé dans les sources publiques</t>
        </is>
      </c>
      <c r="J31" s="6" t="inlineStr">
        <is>
          <t>Février 2024 : accord de 350 M$ avec les procureurs généraux des 50 États américains sur son rôle dans la crise des opioïdes (Purdue) ; Publicis le présente comme « clôturant trois années de discussions ».</t>
        </is>
      </c>
      <c r="K31" s="6" t="inlineStr">
        <is>
          <t>Le groupe qui creuse l'écart avec ses concurrents grâce aux données et à l'IA, à l'heure de son centenaire (1926-2026).</t>
        </is>
      </c>
    </row>
    <row r="32">
      <c r="A32" s="7" t="inlineStr">
        <is>
          <t>Renault Group</t>
        </is>
      </c>
      <c r="B32" s="9" t="inlineStr">
        <is>
          <t>CAC 40</t>
        </is>
      </c>
      <c r="C32" s="9" t="inlineStr">
        <is>
          <t>https://media.renaultgroup.com</t>
        </is>
      </c>
      <c r="D32" s="9" t="inlineStr">
        <is>
          <t>Newsroom : communiqués, dossiers de presse, photos et vidéos ; Brandhub pour les éléments d'identité.</t>
        </is>
      </c>
      <c r="E32" s="9" t="inlineStr">
        <is>
          <t>François Provost, Directeur général</t>
        </is>
      </c>
      <c r="F32" s="9" t="inlineStr">
        <is>
          <t>Non trouvé dans les sources publiques</t>
        </is>
      </c>
      <c r="G32" s="9" t="inlineStr">
        <is>
          <t>LinkedIn Renault Group : 1 609 605 abonnés (lu dans l'extrait de recherche de la page LinkedIn, consulté le 24/10/2026 (date de l'index inconnue)) ; page Renault : 701 747. X, Instagram, YouTube, TikTok : non relevé.</t>
        </is>
      </c>
      <c r="H32" s="9" t="inlineStr">
        <is>
          <t>Magazine en ligne sur renaultgroup.com.</t>
        </is>
      </c>
      <c r="I32" s="9" t="inlineStr">
        <is>
          <t>Non trouvé dans les sources publiques</t>
        </is>
      </c>
      <c r="J32" s="9" t="inlineStr">
        <is>
          <t>Défauts du moteur 1.2 TCe : enquête préliminaire du parquet de Nanterre et investigations DGCCRF rapportées en juin 2025 ; réponse publique non relevée.</t>
        </is>
      </c>
      <c r="K32" s="9" t="inlineStr">
        <is>
          <t>Après la « Renaulution », un groupe rentable qui passe « d'une success story à un success system » avec le plan futuREady (mars 2026).</t>
        </is>
      </c>
    </row>
    <row r="33">
      <c r="A33" s="4" t="inlineStr">
        <is>
          <t>Safran</t>
        </is>
      </c>
      <c r="B33" s="6" t="inlineStr">
        <is>
          <t>CAC 40</t>
        </is>
      </c>
      <c r="C33" s="6" t="inlineStr">
        <is>
          <t>https://www.safran-group.com/fr/espace-presse</t>
        </is>
      </c>
      <c r="D33" s="6" t="inlineStr">
        <is>
          <t>Espace presse filtrable par pays, thème et société ; annuaire de 20 contacts presse nommés (contact principal : Catherine Malek) ; inscription newsletter.</t>
        </is>
      </c>
      <c r="E33" s="6" t="inlineStr">
        <is>
          <t>Olivier Andriès, Directeur général</t>
        </is>
      </c>
      <c r="F33" s="6" t="inlineStr">
        <is>
          <t>Non trouvé dans les sources publiques</t>
        </is>
      </c>
      <c r="G33" s="6" t="inlineStr">
        <is>
          <t>LinkedIn : 1 718 506 abonnés (lu dans l'extrait de recherche de la page LinkedIn, consulté le 24/10/2026 (date de l'index inconnue)). X, Instagram, YouTube, TikTok : non relevé.</t>
        </is>
      </c>
      <c r="H33" s="6" t="inlineStr">
        <is>
          <t>Non trouvé dans les sources publiques</t>
        </is>
      </c>
      <c r="I33" s="6" t="inlineStr">
        <is>
          <t>Non trouvé dans les sources publiques</t>
        </is>
      </c>
      <c r="J33" s="6" t="inlineStr">
        <is>
          <t>Avril 2025 : propos d'Olivier Andriès refusant d'implanter une usine dans une ville écologiste, qui ont fait polémique ; la future usine de Rennes est ensuite confirmée (octobre 2025).</t>
        </is>
      </c>
      <c r="K33" s="6" t="inlineStr">
        <is>
          <t>Un leader de haute technologie au service de la souveraineté et d'une aviation plus durable, porté par une demande civile et militaire record.</t>
        </is>
      </c>
    </row>
    <row r="34">
      <c r="A34" s="7" t="inlineStr">
        <is>
          <t>Saint-Gobain</t>
        </is>
      </c>
      <c r="B34" s="9" t="inlineStr">
        <is>
          <t>CAC 40</t>
        </is>
      </c>
      <c r="C34" s="9" t="inlineStr">
        <is>
          <t>https://www.saint-gobain.com/fr/presse/communiques-de-presse</t>
        </is>
      </c>
      <c r="D34" s="9" t="inlineStr">
        <is>
          <t>Communiqués et archives filtrables ; contact presse générique press@saint-gobain.com (Direction de la communication).</t>
        </is>
      </c>
      <c r="E34" s="9" t="inlineStr">
        <is>
          <t>Benoit Bazin, Président-Directeur général</t>
        </is>
      </c>
      <c r="F34" s="9" t="inlineStr">
        <is>
          <t>Non trouvé dans les sources publiques</t>
        </is>
      </c>
      <c r="G34" s="9" t="inlineStr">
        <is>
          <t>LinkedIn : 1 173 733 abonnés (lu dans l'extrait de recherche de la page LinkedIn, consulté le 24/10/2026 (date de l'index inconnue)). X, Instagram, YouTube, TikTok : non relevé.</t>
        </is>
      </c>
      <c r="H34" s="9" t="inlineStr">
        <is>
          <t>Non trouvé dans les sources publiques</t>
        </is>
      </c>
      <c r="I34" s="9" t="inlineStr">
        <is>
          <t>Non trouvé dans les sources publiques</t>
        </is>
      </c>
      <c r="J34" s="9" t="inlineStr">
        <is>
          <t>2025 : révélations de presse américaine sur la pollution aux PFAS de l'ex-usine de Merrimack (New Hampshire), démolie en juillet 2025 ; réponse du groupe non relevée.</t>
        </is>
      </c>
      <c r="K34" s="9" t="inlineStr">
        <is>
          <t>Le leader mondial de la construction durable, guidé par « Making the World a Better Home ».</t>
        </is>
      </c>
    </row>
    <row r="35">
      <c r="A35" s="4" t="inlineStr">
        <is>
          <t>Sanofi</t>
        </is>
      </c>
      <c r="B35" s="6" t="inlineStr">
        <is>
          <t>CAC 40</t>
        </is>
      </c>
      <c r="C35" s="6" t="inlineStr">
        <is>
          <t>https://www.sanofi.com/fr/media-room</t>
        </is>
      </c>
      <c r="D35" s="6" t="inlineStr">
        <is>
          <t>Media room : communiqués par année, media updates, page contact réservée aux journalistes ; relations médias nommées (Sandrine Guendoul…).</t>
        </is>
      </c>
      <c r="E35" s="6" t="inlineStr">
        <is>
          <t>Belén Garijo, Directrice générale depuis le 1er mai 2026</t>
        </is>
      </c>
      <c r="F35" s="6" t="inlineStr">
        <is>
          <t>Non trouvé dans les sources publiques</t>
        </is>
      </c>
      <c r="G35" s="6" t="inlineStr">
        <is>
          <t>LinkedIn : 5 068 802 abonnés (lu dans l'extrait de recherche de la page LinkedIn, consulté le 24/10/2026 (date de l'index inconnue)). X, Instagram, YouTube, TikTok : non relevé.</t>
        </is>
      </c>
      <c r="H35" s="6" t="inlineStr">
        <is>
          <t>Non trouvé dans les sources publiques</t>
        </is>
      </c>
      <c r="I35" s="6" t="inlineStr">
        <is>
          <t>Non trouvé dans les sources publiques</t>
        </is>
      </c>
      <c r="J35" s="6" t="inlineStr">
        <is>
          <t>Février 2026 : le conseil ne renouvelle pas le mandat de Paul Hudson, remplacé par Belén Garijo ; le dossier Dépakine reste ouvert (nouvelle plainte en février 2026).</t>
        </is>
      </c>
      <c r="K35" s="6" t="inlineStr">
        <is>
          <t>Une biopharma tournée vers la R&amp;D et l'IA, qui « poursuit les miracles de la science ».</t>
        </is>
      </c>
    </row>
    <row r="36">
      <c r="A36" s="7" t="inlineStr">
        <is>
          <t>Schneider Electric</t>
        </is>
      </c>
      <c r="B36" s="9" t="inlineStr">
        <is>
          <t>CAC 40</t>
        </is>
      </c>
      <c r="C36" s="9" t="inlineStr">
        <is>
          <t>https://www.se.com/ww/en/about-us/newsroom/</t>
        </is>
      </c>
      <c r="D36" s="9" t="inlineStr">
        <is>
          <t>Newsroom avec communiqués, photos, page d'experts porte-paroles ; contacts presse génériques (global.pr@se.com, corporate.communications@se.com) et nommés (Anthime Caprioli).</t>
        </is>
      </c>
      <c r="E36" s="9" t="inlineStr">
        <is>
          <t>Olivier Blum, Directeur général</t>
        </is>
      </c>
      <c r="F36" s="9" t="inlineStr">
        <is>
          <t>Non trouvé dans les sources publiques</t>
        </is>
      </c>
      <c r="G36" s="9" t="inlineStr">
        <is>
          <t>LinkedIn : 5 813 696 abonnés (lu dans l'extrait de recherche de la page LinkedIn, consulté le 24/10/2026 (date de l'index inconnue)). X @SchneiderElecFR : présent. Instagram, YouTube, TikTok : non relevé.</t>
        </is>
      </c>
      <c r="H36" s="9" t="inlineStr">
        <is>
          <t>Blog blog.se.com et podcast « AI at Scale ».</t>
        </is>
      </c>
      <c r="I36" s="9" t="inlineStr">
        <is>
          <t>Non trouvé dans les sources publiques</t>
        </is>
      </c>
      <c r="J36" s="9" t="inlineStr">
        <is>
          <t>Non trouvé dans les sources publiques</t>
        </is>
      </c>
      <c r="K36" s="9" t="inlineStr">
        <is>
          <t>Le leader de la technologie de l'énergie qui électrifie, automatise et numérise industries, bâtiments et foyers.</t>
        </is>
      </c>
    </row>
    <row r="37">
      <c r="A37" s="4" t="inlineStr">
        <is>
          <t>Société Générale</t>
        </is>
      </c>
      <c r="B37" s="6" t="inlineStr">
        <is>
          <t>CAC 40</t>
        </is>
      </c>
      <c r="C37" s="6" t="inlineStr">
        <is>
          <t>https://www.societegenerale.com/fr/communiques-de-presse</t>
        </is>
      </c>
      <c r="D37" s="6" t="inlineStr">
        <is>
          <t>Communiqués de presse certifiés (après le 02/11/2020) ; page logo avec règles d'usage ; contacts presse nommés sur les communiqués (Jean-Baptiste Froville, Fanny Rouby).</t>
        </is>
      </c>
      <c r="E37" s="6" t="inlineStr">
        <is>
          <t>Slawomir Krupa, Directeur général</t>
        </is>
      </c>
      <c r="F37" s="6" t="inlineStr">
        <is>
          <t>Non trouvé dans les sources publiques</t>
        </is>
      </c>
      <c r="G37" s="6" t="inlineStr">
        <is>
          <t>LinkedIn : 1 368 872 abonnés (lu dans l'extrait de recherche de la page LinkedIn, consulté le 24/10/2026 (date de l'index inconnue)). X, Instagram, YouTube, TikTok : non relevé.</t>
        </is>
      </c>
      <c r="H37" s="6" t="inlineStr">
        <is>
          <t>Non trouvé dans les sources publiques</t>
        </is>
      </c>
      <c r="I37" s="6" t="inlineStr">
        <is>
          <t>Non trouvé dans les sources publiques</t>
        </is>
      </c>
      <c r="J37" s="6" t="inlineStr">
        <is>
          <t>Annonce d'un projet de suppression de 1 800 postes en France d'ici fin 2027, sans plan de départs (attrition naturelle) ; date exacte non relevée.</t>
        </is>
      </c>
      <c r="K37" s="6" t="inlineStr">
        <is>
          <t>Une banque solide et recentrée, partenaire des transformations de ses clients.</t>
        </is>
      </c>
    </row>
    <row r="38">
      <c r="A38" s="7" t="inlineStr">
        <is>
          <t>Stellantis</t>
        </is>
      </c>
      <c r="B38" s="9" t="inlineStr">
        <is>
          <t>CAC 40</t>
        </is>
      </c>
      <c r="C38" s="9" t="inlineStr">
        <is>
          <t>https://www.media.stellantis.com/fr-fr/corporate/press</t>
        </is>
      </c>
      <c r="D38" s="9" t="inlineStr">
        <is>
          <t>Sites médias par marque, communiqués filtrables, newsletter Stellantis Communications ; page contacts médias corporate.</t>
        </is>
      </c>
      <c r="E38" s="9" t="inlineStr">
        <is>
          <t>Antonio Filosa, Directeur général</t>
        </is>
      </c>
      <c r="F38" s="9" t="inlineStr">
        <is>
          <t>Non trouvé dans les sources publiques</t>
        </is>
      </c>
      <c r="G38" s="9" t="inlineStr">
        <is>
          <t>LinkedIn : 2 656 097 abonnés (lu dans l'extrait de recherche de la page LinkedIn, consulté le 24/10/2026 (date de l'index inconnue)). X, Instagram, YouTube, TikTok : non relevé.</t>
        </is>
      </c>
      <c r="H38" s="9" t="inlineStr">
        <is>
          <t>Non trouvé dans les sources publiques</t>
        </is>
      </c>
      <c r="I38" s="9" t="inlineStr">
        <is>
          <t>Non trouvé dans les sources publiques</t>
        </is>
      </c>
      <c r="J38" s="9" t="inlineStr">
        <is>
          <t>Moteur 1.2 PureTech : Antonio Filosa présente des excuses aux clients ; année 2025 marquée par une perte nette de 22,3 Md€ et des arrêts d'usines en Europe.</t>
        </is>
      </c>
      <c r="K38" s="9" t="inlineStr">
        <is>
          <t>Un constructeur multi-marques en redressement, qui reconnaît ses erreurs et recentre sa stratégie.</t>
        </is>
      </c>
    </row>
    <row r="39">
      <c r="A39" s="4" t="inlineStr">
        <is>
          <t>STMicroelectronics</t>
        </is>
      </c>
      <c r="B39" s="6" t="inlineStr">
        <is>
          <t>CAC 40</t>
        </is>
      </c>
      <c r="C39" s="6" t="inlineStr">
        <is>
          <t>https://newsroom.st.com</t>
        </is>
      </c>
      <c r="D39" s="6" t="inlineStr">
        <is>
          <t>Newsroom (media center) avec communiqués ; contacts médias nommés (Nelly Dimey, Director Corporate Media and PR ; Alexis Breton).</t>
        </is>
      </c>
      <c r="E39" s="6" t="inlineStr">
        <is>
          <t>Jean-Marc Chery, Président et Directeur général</t>
        </is>
      </c>
      <c r="F39" s="6" t="inlineStr">
        <is>
          <t>Non trouvé dans les sources publiques</t>
        </is>
      </c>
      <c r="G39" s="6" t="inlineStr">
        <is>
          <t>LinkedIn : 957 241 abonnés (lu dans l'extrait de recherche de la page LinkedIn, consulté le 24/10/2026 (date de l'index inconnue)). Instagram et YouTube : présents (liens relevés). X, TikTok : non relevé.</t>
        </is>
      </c>
      <c r="H39" s="6" t="inlineStr">
        <is>
          <t>Non trouvé dans les sources publiques</t>
        </is>
      </c>
      <c r="I39" s="6" t="inlineStr">
        <is>
          <t>Non trouvé dans les sources publiques</t>
        </is>
      </c>
      <c r="J39" s="6" t="inlineStr">
        <is>
          <t>Avril 2025 : plan de réduction des coûts et de redimensionnement industriel (Crolles, Agrate) ; le conseil de surveillance publie une déclaration le 10/04/2025 sur la contestation visant la direction.</t>
        </is>
      </c>
      <c r="K39" s="6" t="inlineStr">
        <is>
          <t>Créateur et fabricant de technologies pour un futur plus intelligent, plus vert et plus durable.</t>
        </is>
      </c>
    </row>
    <row r="40">
      <c r="A40" s="7" t="inlineStr">
        <is>
          <t>Thales</t>
        </is>
      </c>
      <c r="B40" s="9" t="inlineStr">
        <is>
          <t>CAC 40</t>
        </is>
      </c>
      <c r="C40" s="9" t="inlineStr">
        <is>
          <t>https://thalesgroup.com/en/media-relations-and-social-media/media-contacts</t>
        </is>
      </c>
      <c r="D40" s="9" t="inlineStr">
        <is>
          <t>Communiqués, page contacts médias par pays et spécialité via formulaires, page réseaux sociaux du groupe ; briefings presse lors des salons.</t>
        </is>
      </c>
      <c r="E40" s="9" t="inlineStr">
        <is>
          <t>Patrice Caine, Président-Directeur général</t>
        </is>
      </c>
      <c r="F40" s="9" t="inlineStr">
        <is>
          <t>Non trouvé dans les sources publiques</t>
        </is>
      </c>
      <c r="G40" s="9" t="inlineStr">
        <is>
          <t>LinkedIn : 2 145 934 abonnés (lu dans l'extrait de recherche de la page LinkedIn, consulté le 24/10/2026 (date de l'index inconnue)). X, Instagram, YouTube, TikTok : comptes listés sur la page réseaux sociaux, abonnés non relevés.</t>
        </is>
      </c>
      <c r="H40" s="9" t="inlineStr">
        <is>
          <t>Non trouvé dans les sources publiques</t>
        </is>
      </c>
      <c r="I40" s="9" t="inlineStr">
        <is>
          <t>Non trouvé dans les sources publiques</t>
        </is>
      </c>
      <c r="J40" s="9" t="inlineStr">
        <is>
          <t>Novembre 2025 : une enquête franco-britannique pour corruption présumée porte sur un contrat en Indonésie (AFP) ; réponse non relevée.</t>
        </is>
      </c>
      <c r="K40" s="9" t="inlineStr">
        <is>
          <t>Un leader mondial des hautes technologies qui aide États et entreprises à décider dans les moments critiques.</t>
        </is>
      </c>
    </row>
    <row r="41">
      <c r="A41" s="4" t="inlineStr">
        <is>
          <t>TotalEnergies</t>
        </is>
      </c>
      <c r="B41" s="6" t="inlineStr">
        <is>
          <t>CAC 40</t>
        </is>
      </c>
      <c r="C41" s="6" t="inlineStr">
        <is>
          <t>https://totalenergies.com/newsroom</t>
        </is>
      </c>
      <c r="D41" s="6" t="inlineStr">
        <is>
          <t>Newsroom par thème ; communiqués certifiés par blockchain ; contact relations médias générique (+33 1 47 44 46 99).</t>
        </is>
      </c>
      <c r="E41" s="6" t="inlineStr">
        <is>
          <t>Patrick Pouyanné, Président-Directeur général</t>
        </is>
      </c>
      <c r="F41" s="6" t="inlineStr">
        <is>
          <t>Non trouvé dans les sources publiques</t>
        </is>
      </c>
      <c r="G41" s="6" t="inlineStr">
        <is>
          <t>LinkedIn : 5 474 486 abonnés (lu dans l'extrait de recherche de la page LinkedIn, consulté le 24/10/2026 (date de l'index inconnue)). Instagram : 166 k abonnés (lu dans l'extrait de la page). X @TotalEnergies : présent. YouTube, TikTok : non relevé.</t>
        </is>
      </c>
      <c r="H41" s="6" t="inlineStr">
        <is>
          <t>Non trouvé dans les sources publiques</t>
        </is>
      </c>
      <c r="I41" s="6" t="inlineStr">
        <is>
          <t>Non trouvé dans les sources publiques</t>
        </is>
      </c>
      <c r="J41" s="6" t="inlineStr">
        <is>
          <t>23 octobre 2025 : condamnation pour pratiques commerciales trompeuses (greenwashing) par le tribunal judiciaire de Paris ; le groupe publie le 24/10 une « mise au point » soulignant le rejet de l'essentiel des demandes.</t>
        </is>
      </c>
      <c r="K41" s="6" t="inlineStr">
        <is>
          <t>Une compagnie multi-énergies qui veut fournir plus d'énergie avec moins d'émissions.</t>
        </is>
      </c>
    </row>
    <row r="42">
      <c r="A42" s="7" t="inlineStr">
        <is>
          <t>Unibail-Rodamco-Westfield</t>
        </is>
      </c>
      <c r="B42" s="9" t="inlineStr">
        <is>
          <t>CAC 40</t>
        </is>
      </c>
      <c r="C42" s="9" t="inlineStr">
        <is>
          <t>https://www.urw.com/investors/press-releases</t>
        </is>
      </c>
      <c r="D42" s="9" t="inlineStr">
        <is>
          <t>Communiqués (rubrique investisseurs) et actualités du groupe ; kit et contacts non relevés.</t>
        </is>
      </c>
      <c r="E42" s="9" t="inlineStr">
        <is>
          <t>Vincent Rouget, Président du Directoire depuis janvier 2026</t>
        </is>
      </c>
      <c r="F42" s="9" t="inlineStr">
        <is>
          <t>Non trouvé dans les sources publiques</t>
        </is>
      </c>
      <c r="G42" s="9" t="inlineStr">
        <is>
          <t>LinkedIn : 157 835 abonnés (lu dans l'extrait de recherche de la page LinkedIn, consulté le 24/10/2026 (date de l'index inconnue)). X @urw_group : présent. Instagram, YouTube, TikTok : non relevé.</t>
        </is>
      </c>
      <c r="H42" s="9" t="inlineStr">
        <is>
          <t>Non trouvé dans les sources publiques</t>
        </is>
      </c>
      <c r="I42" s="9" t="inlineStr">
        <is>
          <t>Non trouvé dans les sources publiques</t>
        </is>
      </c>
      <c r="J42" s="9" t="inlineStr">
        <is>
          <t>Non trouvé dans les sources publiques</t>
        </is>
      </c>
      <c r="K42" s="9" t="inlineStr">
        <is>
          <t>Un opérateur de destinations commerciales d'exception qui réinvente le fait d'être ensemble et se désendette.</t>
        </is>
      </c>
    </row>
    <row r="43">
      <c r="A43" s="4" t="inlineStr">
        <is>
          <t>Veolia</t>
        </is>
      </c>
      <c r="B43" s="6" t="inlineStr">
        <is>
          <t>CAC 40</t>
        </is>
      </c>
      <c r="C43" s="6" t="inlineStr">
        <is>
          <t>https://www.veolia.com/fr/nos-medias/newsroom</t>
        </is>
      </c>
      <c r="D43" s="6" t="inlineStr">
        <is>
          <t>Newsroom et communiqués ; relations presse groupe nommées sur les communiqués (Laurent Obadia, Evgeniya Mazalova…).</t>
        </is>
      </c>
      <c r="E43" s="6" t="inlineStr">
        <is>
          <t>Estelle Brachlianoff, Directrice générale</t>
        </is>
      </c>
      <c r="F43" s="6" t="inlineStr">
        <is>
          <t>Non trouvé dans les sources publiques</t>
        </is>
      </c>
      <c r="G43" s="6" t="inlineStr">
        <is>
          <t>LinkedIn : 922 552 abonnés (lu dans l'extrait de recherche de la page LinkedIn, consulté le 24/10/2026 (date de l'index inconnue)). X, Instagram, YouTube, TikTok : non relevé.</t>
        </is>
      </c>
      <c r="H43" s="6" t="inlineStr">
        <is>
          <t>Non trouvé dans les sources publiques</t>
        </is>
      </c>
      <c r="I43" s="6" t="inlineStr">
        <is>
          <t>Non trouvé dans les sources publiques</t>
        </is>
      </c>
      <c r="J43" s="6" t="inlineStr">
        <is>
          <t>Mars 2025 : accusations de pollution d'une décharge gérée par Veolia en Colombie (The Guardian) ; Veolia répond par écrit en mai 2025 aux allégations.</t>
        </is>
      </c>
      <c r="K43" s="6" t="inlineStr">
        <is>
          <t>Le champion de la transformation écologique, avec le plan GreenUp 2024-2027.</t>
        </is>
      </c>
    </row>
    <row r="44">
      <c r="A44" s="7" t="inlineStr">
        <is>
          <t>Vinci</t>
        </is>
      </c>
      <c r="B44" s="9" t="inlineStr">
        <is>
          <t>CAC 40</t>
        </is>
      </c>
      <c r="C44" s="9" t="inlineStr">
        <is>
          <t>https://www.vinci.com/en/newsroom</t>
        </is>
      </c>
      <c r="D44" s="9" t="inlineStr">
        <is>
          <t>Newsroom : communiqués, médiathèque (logo, photos) ; contact générique media.relations@vinci.com.</t>
        </is>
      </c>
      <c r="E44" s="9" t="inlineStr">
        <is>
          <t>Pierre Anjolras, Directeur général</t>
        </is>
      </c>
      <c r="F44" s="9" t="inlineStr">
        <is>
          <t>Non trouvé dans les sources publiques</t>
        </is>
      </c>
      <c r="G44" s="9" t="inlineStr">
        <is>
          <t>LinkedIn : 763 206 abonnés (lu dans l'extrait de recherche de la page LinkedIn, consulté le 24/10/2026 (date de l'index inconnue)). X, Instagram, YouTube, TikTok : non relevé.</t>
        </is>
      </c>
      <c r="H44" s="9" t="inlineStr">
        <is>
          <t>E-magazine sur vinci.com (articles thématiques).</t>
        </is>
      </c>
      <c r="I44" s="9" t="inlineStr">
        <is>
          <t>Non trouvé dans les sources publiques</t>
        </is>
      </c>
      <c r="J44" s="9" t="inlineStr">
        <is>
          <t>Rentabilité des concessions autoroutières : un rapport du Sénat (r24-065) rappelle les conclusions IGF/CGEDD sur une probable « surrentabilité » ; réponse non relevée.</t>
        </is>
      </c>
      <c r="K44" s="9" t="inlineStr">
        <is>
          <t>Un leader mondial qui « forge un monde durable » par ses concessions, l'énergie et la construction.</t>
        </is>
      </c>
    </row>
    <row r="45">
      <c r="A45" s="4" t="inlineStr">
        <is>
          <t>Orange Côte d'Ivoire</t>
        </is>
      </c>
      <c r="B45" s="6" t="inlineStr">
        <is>
          <t>Côte d'Ivoire, entreprise</t>
        </is>
      </c>
      <c r="C45" s="6" t="inlineStr">
        <is>
          <t>Non trouvé dans les sources publiques</t>
        </is>
      </c>
      <c r="D45" s="6" t="inlineStr">
        <is>
          <t>Site institutionnel groupe.orange.ci avec rubrique actualités et Rapport annuel intégré 2024 (3e édition, cadre IIRC) ; page « espace presse » non accessible lors du relevé (erreur).</t>
        </is>
      </c>
      <c r="E45" s="6" t="inlineStr">
        <is>
          <t>Mamadou Bamba, Directeur général du Groupe Orange Côte d'Ivoire</t>
        </is>
      </c>
      <c r="F45" s="6" t="inlineStr">
        <is>
          <t>https://linkedin.com/in/mamadou-bamba-932563193 (profil Orange Côte d'Ivoire remonté par la recherche, non ouvert)</t>
        </is>
      </c>
      <c r="G45" s="6" t="inlineStr">
        <is>
          <t>Facebook « Orange » (facebook.com/orangecotedivoire) : 31 799 960 abonnés lus le 24/10/2026 (chiffre affiché par la page, qui se présente comme Orange Côte d'Ivoire ; écart possible avec une page mondiale à vérifier) ; X @ci_orange, Instagram orangecotedivoire, YouTube orangecotedivoire présents (liens du site) ; LinkedIn non relevé.</t>
        </is>
      </c>
      <c r="H45" s="6" t="inlineStr">
        <is>
          <t>Rapport annuel intégré (groupe.orange.ci) ; Orange 5G Lab Abidjan.</t>
        </is>
      </c>
      <c r="I45" s="6" t="inlineStr">
        <is>
          <t>Non trouvé dans les sources publiques</t>
        </is>
      </c>
      <c r="J45" s="6" t="inlineStr">
        <is>
          <t>Qualité de service : l'ARTCI a sanctionné Orange CI de 7 milliards FCFA (sur 13,17 milliards pour les trois opérateurs) pour manquements à la qualité de service (date de la décision non lue dans l'article) ; Orange a tenu le 21 mai 2026 une longue séance d'écoute clients relayée par la presse (pulse.ci).</t>
        </is>
      </c>
      <c r="K45" s="6" t="inlineStr">
        <is>
          <t>Leader proche de ses clients à chaque instant de leur vie numérique (« Orange est là »).</t>
        </is>
      </c>
    </row>
    <row r="46">
      <c r="A46" s="7" t="inlineStr">
        <is>
          <t>MTN Côte d'Ivoire</t>
        </is>
      </c>
      <c r="B46" s="9" t="inlineStr">
        <is>
          <t>Côte d'Ivoire, entreprise</t>
        </is>
      </c>
      <c r="C46" s="9" t="inlineStr">
        <is>
          <t>http://www.mtn.ci/a-propos-page-daccueil/</t>
        </is>
      </c>
      <c r="D46" s="9" t="inlineStr">
        <is>
          <t>Rubrique « Salle de presse » présente dans le menu À propos de mtn.ci (contenu non parcouru).</t>
        </is>
      </c>
      <c r="E46" s="9" t="inlineStr">
        <is>
          <t>Abbad Reda, Directeur général depuis le 1er septembre 2026 (succède à Mitwa Ng'ambi, communiqué du 2 juin 2026)</t>
        </is>
      </c>
      <c r="F46" s="9" t="inlineStr">
        <is>
          <t>Non trouvé dans les sources publiques</t>
        </is>
      </c>
      <c r="G46" s="9" t="inlineStr">
        <is>
          <t>Facebook MTNCotedIvoire : 803 746 abonnés lus le 24/10/2026 ; LinkedIn company/mtn-ci, X @MTNCotedIvoire, YouTube @MTNcotedivoire présents (liens du site).</t>
        </is>
      </c>
      <c r="H46" s="9" t="inlineStr">
        <is>
          <t>Programme de bourses d'innovation médiatique lancé avec le ministre de la Communication (2 avril 2026).</t>
        </is>
      </c>
      <c r="I46" s="9" t="inlineStr">
        <is>
          <t>Non trouvé dans les sources publiques</t>
        </is>
      </c>
      <c r="J46" s="9" t="inlineStr">
        <is>
          <t>Qualité de service : sanction ARTCI de 3,27 milliards FCFA ; par ailleurs plainte de Wave (depuis mars 2024) contre MTN, Orange et Moov pour pratiques anticoncurrentielles ; MTN a supprimé les frais de retrait MoMo (août 2025).</t>
        </is>
      </c>
      <c r="K46" s="9" t="inlineStr">
        <is>
          <t>Premier opérateur mobile du pays par abonnés, qui a « grandi avec la Côte d'Ivoire » (20 ans).</t>
        </is>
      </c>
    </row>
    <row r="47">
      <c r="A47" s="4" t="inlineStr">
        <is>
          <t>Moov Africa Côte d'Ivoire</t>
        </is>
      </c>
      <c r="B47" s="6" t="inlineStr">
        <is>
          <t>Côte d'Ivoire, entreprise</t>
        </is>
      </c>
      <c r="C47" s="6" t="inlineStr">
        <is>
          <t>Non trouvé dans les sources publiques</t>
        </is>
      </c>
      <c r="D47" s="6" t="inlineStr">
        <is>
          <t>Dossier « Contacts presse » 20 ans (« 20 ans de campagnes qui ont marqué la Côte d'Ivoire », #VOIRGRAND) consulté en ligne.</t>
        </is>
      </c>
      <c r="E47" s="6" t="inlineStr">
        <is>
          <t>Lhoussaine Oussalah, Directeur général (cité en décembre 2025, à confirmer)</t>
        </is>
      </c>
      <c r="F47" s="6" t="inlineStr">
        <is>
          <t>Youssef Ktiri, Directeur Marketing, Communication &amp; Digital (profil LinkedIn)</t>
        </is>
      </c>
      <c r="G47" s="6" t="inlineStr">
        <is>
          <t>Facebook « Moov Africa CI » : 2 865 066 abonnés lus le 24/10/2026 ; Instagram moovafricacotedivoire, X @Moovafrica_CIV, LinkedIn, YouTube présents (liens du site).</t>
        </is>
      </c>
      <c r="H47" s="6" t="inlineStr">
        <is>
          <t>Non trouvé dans les sources publiques</t>
        </is>
      </c>
      <c r="I47" s="6" t="inlineStr">
        <is>
          <t>Non trouvé dans les sources publiques</t>
        </is>
      </c>
      <c r="J47" s="6" t="inlineStr">
        <is>
          <t>Qualité de service : sanction ARTCI de 2,89 milliards FCFA ; visée avec MTN et Orange par la plainte de Wave.</t>
        </is>
      </c>
      <c r="K47" s="6" t="inlineStr">
        <is>
          <t>Ancien outsider devenu « catalyseur de réussite » qui croit en la jeunesse et voit grand.</t>
        </is>
      </c>
    </row>
    <row r="48">
      <c r="A48" s="7" t="inlineStr">
        <is>
          <t>Wave Côte d'Ivoire</t>
        </is>
      </c>
      <c r="B48" s="9" t="inlineStr">
        <is>
          <t>Côte d'Ivoire, entreprise</t>
        </is>
      </c>
      <c r="C48" s="9" t="inlineStr">
        <is>
          <t>Non trouvé dans les sources publiques</t>
        </is>
      </c>
      <c r="D48" s="9" t="inlineStr">
        <is>
          <t>Pas d'espace presse relevé ; prises de parole par conférences de presse du DG.</t>
        </is>
      </c>
      <c r="E48" s="9" t="inlineStr">
        <is>
          <t>Katier Bamba, Directeur général de Wave Mobile Money Côte d'Ivoire</t>
        </is>
      </c>
      <c r="F48" s="9" t="inlineStr">
        <is>
          <t>Non trouvé dans les sources publiques</t>
        </is>
      </c>
      <c r="G48" s="9" t="inlineStr">
        <is>
          <t>Facebook « Wave Côte d'Ivoire » : 492 583 abonnés lus le 24/10/2026 (accroche : « déposez, retirez et payez vos factures sans frais… envoyez de l'argent pour seulement 1% »).</t>
        </is>
      </c>
      <c r="H48" s="9" t="inlineStr">
        <is>
          <t>Non trouvé dans les sources publiques</t>
        </is>
      </c>
      <c r="I48" s="9" t="inlineStr">
        <is>
          <t>Non trouvé dans les sources publiques</t>
        </is>
      </c>
      <c r="J48" s="9" t="inlineStr">
        <is>
          <t>Conflit avec les opérateurs : plainte de Wave devant le régulateur depuis mars 2024 contre MTN, Orange et Moov (vente de crédit bloquée) ; riposte tarifaire de MTN (retraits gratuits). Wave répond par le discours prix + qualité de service.</t>
        </is>
      </c>
      <c r="K48" s="9" t="inlineStr">
        <is>
          <t>« Les utilisateurs sont venus pour le prix, mais ils sont restés pour la qualité du service » : inclusion financière radicale à 1 %.</t>
        </is>
      </c>
    </row>
    <row r="49">
      <c r="A49" s="4" t="inlineStr">
        <is>
          <t>Société Générale Côte d'Ivoire</t>
        </is>
      </c>
      <c r="B49" s="6" t="inlineStr">
        <is>
          <t>Côte d'Ivoire, entreprise</t>
        </is>
      </c>
      <c r="C49" s="6" t="inlineStr">
        <is>
          <t>https://institutionnel.societegenerale.ci/fr/</t>
        </is>
      </c>
      <c r="D49" s="6" t="inlineStr">
        <is>
          <t>Site institutionnel : histoire, « Nous connaître », communiqués d'information (ex. présentation du DG) ; page « Nos valeurs » sans texte de valeurs lisible au relevé.</t>
        </is>
      </c>
      <c r="E49" s="6" t="inlineStr">
        <is>
          <t>Patrick Blas, Directeur général</t>
        </is>
      </c>
      <c r="F49" s="6" t="inlineStr">
        <is>
          <t>Non trouvé dans les sources publiques</t>
        </is>
      </c>
      <c r="G49" s="6" t="inlineStr">
        <is>
          <t>LinkedIn company/societegeneralecotedivoire, X @SG_CotedIvoire, YouTube présents (liens du site) ; Facebook non relevé (page non lue sans connexion).</t>
        </is>
      </c>
      <c r="H49" s="6" t="inlineStr">
        <is>
          <t>Non trouvé dans les sources publiques</t>
        </is>
      </c>
      <c r="I49" s="6" t="inlineStr">
        <is>
          <t>Non trouvé dans les sources publiques</t>
        </is>
      </c>
      <c r="J49" s="6" t="inlineStr">
        <is>
          <t>Non trouvé dans les sources publiques</t>
        </is>
      </c>
      <c r="K49" s="6" t="inlineStr">
        <is>
          <t>Banque de référence au service de l'économie ivoirienne, rentabilité durable et conformité.</t>
        </is>
      </c>
    </row>
    <row r="50">
      <c r="A50" s="7" t="inlineStr">
        <is>
          <t>NSIA Banque Côte d'Ivoire (groupe NSIA)</t>
        </is>
      </c>
      <c r="B50" s="9" t="inlineStr">
        <is>
          <t>Côte d'Ivoire, entreprise</t>
        </is>
      </c>
      <c r="C50" s="9" t="inlineStr">
        <is>
          <t>Non trouvé dans les sources publiques</t>
        </is>
      </c>
      <c r="D50" s="9" t="inlineStr">
        <is>
          <t>Communiqués relayés par l'AIP et la presse financière ; pas d'espace presse dédié relevé.</t>
        </is>
      </c>
      <c r="E50" s="9" t="inlineStr">
        <is>
          <t>Bénito Fado, Directeur général depuis le 1er septembre 2026 (Léonce Yacé passe à NSIA Holding Financière) ; Jean Kacou Diagou, président du groupe</t>
        </is>
      </c>
      <c r="F50" s="9" t="inlineStr">
        <is>
          <t>Non trouvé dans les sources publiques</t>
        </is>
      </c>
      <c r="G50" s="9" t="inlineStr">
        <is>
          <t>Facebook NSIABANQUECI : 167 199 abonnés lus le 24/10/2026 ; LinkedIn et YouTube présents (liens du site).</t>
        </is>
      </c>
      <c r="H50" s="9" t="inlineStr">
        <is>
          <t>Non trouvé dans les sources publiques</t>
        </is>
      </c>
      <c r="I50" s="9" t="inlineStr">
        <is>
          <t>Non trouvé dans les sources publiques</t>
        </is>
      </c>
      <c r="J50" s="9" t="inlineStr">
        <is>
          <t>Septembre 2025 (date à confirmer) : le procureur de la CRIET (Bénin) évoque un compte lié au présumé complot ; NSIA dément sur LinkedIn par un communiqué signé Jean Kacou Diagou (« aucun compte n'a été ouvert… »).</t>
        </is>
      </c>
      <c r="K50" s="9" t="inlineStr">
        <is>
          <t>Champion panafricain d'origine ivoirienne, innovant et « pour tous ».</t>
        </is>
      </c>
    </row>
    <row r="51">
      <c r="A51" s="4" t="inlineStr">
        <is>
          <t>Ecobank Côte d'Ivoire</t>
        </is>
      </c>
      <c r="B51" s="6" t="inlineStr">
        <is>
          <t>Côte d'Ivoire, entreprise</t>
        </is>
      </c>
      <c r="C51" s="6" t="inlineStr">
        <is>
          <t>https://ecobank.africa-newsroom.com/</t>
        </is>
      </c>
      <c r="D51" s="6" t="inlineStr">
        <is>
          <t>Salle de presse du groupe (APO) : communiqués, dont le premier Gender Bond d'Afrique de l'Ouest lancé par Ecobank CI (mars 2025) ; rapports d'activité sur brvm.org.</t>
        </is>
      </c>
      <c r="E51" s="6" t="inlineStr">
        <is>
          <t>Serge Thiemele (cité dans le rapport d'activité 2025, fonction à confirmer)</t>
        </is>
      </c>
      <c r="F51" s="6" t="inlineStr">
        <is>
          <t>Non trouvé dans les sources publiques</t>
        </is>
      </c>
      <c r="G51" s="6" t="inlineStr">
        <is>
          <t>Non relevé (page Facebook non lue sans connexion).</t>
        </is>
      </c>
      <c r="H51" s="6" t="inlineStr">
        <is>
          <t>Non trouvé dans les sources publiques</t>
        </is>
      </c>
      <c r="I51" s="6" t="inlineStr">
        <is>
          <t>Non trouvé dans les sources publiques</t>
        </is>
      </c>
      <c r="J51" s="6" t="inlineStr">
        <is>
          <t>Résultat semestriel 2026 en baisse de 8,6 % (coût du risque) : sujet financier, pas une crise d'image documentée.</t>
        </is>
      </c>
      <c r="K51" s="6" t="inlineStr">
        <is>
          <t>Banque panafricaine qui finance l'inclusion (femmes entrepreneures, PME).</t>
        </is>
      </c>
    </row>
    <row r="52">
      <c r="A52" s="7" t="inlineStr">
        <is>
          <t>Banque Atlantique Côte d'Ivoire</t>
        </is>
      </c>
      <c r="B52" s="9" t="inlineStr">
        <is>
          <t>Côte d'Ivoire, entreprise</t>
        </is>
      </c>
      <c r="C52" s="9" t="inlineStr">
        <is>
          <t>Non trouvé dans les sources publiques</t>
        </is>
      </c>
      <c r="D52" s="9" t="inlineStr">
        <is>
          <t>Actualités sur le site (partenariats, ex. ATC Comafrique, octobre 2026).</t>
        </is>
      </c>
      <c r="E52" s="9" t="inlineStr">
        <is>
          <t>Non trouvé dans les sources publiques</t>
        </is>
      </c>
      <c r="F52" s="9" t="inlineStr">
        <is>
          <t>Profils LinkedIn titrés « Directeur général » chez Banque Atlantique : Arsene Coulibaly, Ahmed Ndaw (non vérifiés)</t>
        </is>
      </c>
      <c r="G52" s="9" t="inlineStr">
        <is>
          <t>Facebook « Banque Atlantique Côte d'Ivoire » : 35 459 abonnés lus le 24/10/2026 ; LinkedIn, YouTube, X @Bq_Atlantique présents (liens du site).</t>
        </is>
      </c>
      <c r="H52" s="9" t="inlineStr">
        <is>
          <t>Non trouvé dans les sources publiques</t>
        </is>
      </c>
      <c r="I52" s="9" t="inlineStr">
        <is>
          <t>Non trouvé dans les sources publiques</t>
        </is>
      </c>
      <c r="J52" s="9" t="inlineStr">
        <is>
          <t>Non trouvé dans les sources publiques</t>
        </is>
      </c>
      <c r="K52" s="9" t="inlineStr">
        <is>
          <t>Banque de proximité, ancrée localement et citoyenne, adossée au groupe BCP.</t>
        </is>
      </c>
    </row>
    <row r="53">
      <c r="A53" s="4" t="inlineStr">
        <is>
          <t>CIE (Compagnie Ivoirienne d'Électricité)</t>
        </is>
      </c>
      <c r="B53" s="6" t="inlineStr">
        <is>
          <t>Côte d'Ivoire, entreprise</t>
        </is>
      </c>
      <c r="C53" s="6" t="inlineStr">
        <is>
          <t>Non trouvé dans les sources publiques</t>
        </is>
      </c>
      <c r="D53" s="6" t="inlineStr">
        <is>
          <t>Communiqués diffusés via la presse (Koaci, RTI, Ivoire Matin) : coupures programmées, consignes de sécurité, dispositif d'alerte éthique.</t>
        </is>
      </c>
      <c r="E53" s="6" t="inlineStr">
        <is>
          <t>Jean-Christian Turkson, Directeur général depuis le 16 juillet 2025</t>
        </is>
      </c>
      <c r="F53" s="6" t="inlineStr">
        <is>
          <t>Non trouvé dans les sources publiques</t>
        </is>
      </c>
      <c r="G53" s="6" t="inlineStr">
        <is>
          <t>Non relevé (page Facebook non lue sans connexion).</t>
        </is>
      </c>
      <c r="H53" s="6" t="inlineStr">
        <is>
          <t>Non trouvé dans les sources publiques</t>
        </is>
      </c>
      <c r="I53" s="6" t="inlineStr">
        <is>
          <t>Trois distinctions aux « Oscars africains 2026 » (qualité de vie au travail, Koaci 19/10/2026).</t>
        </is>
      </c>
      <c r="J53" s="6" t="inlineStr">
        <is>
          <t>Délestages et coupures début 2026 : communiqué du 28 février 2026 invoquant des travaux gaziers ; mars 2026, excuses publiques et plan d'urgence de 700 milliards FCFA annoncé avec le gouvernement.</t>
        </is>
      </c>
      <c r="K53" s="6" t="inlineStr">
        <is>
          <t>Service public d'électricité qui s'excuse, explique et investit pour stabiliser le réseau.</t>
        </is>
      </c>
    </row>
    <row r="54">
      <c r="A54" s="7" t="inlineStr">
        <is>
          <t>SODECI</t>
        </is>
      </c>
      <c r="B54" s="9" t="inlineStr">
        <is>
          <t>Côte d'Ivoire, entreprise</t>
        </is>
      </c>
      <c r="C54" s="9" t="inlineStr">
        <is>
          <t>Non trouvé dans les sources publiques</t>
        </is>
      </c>
      <c r="D54" s="9" t="inlineStr">
        <is>
          <t>Site avec photothèque et vidéothèque ; communiqués de perturbation relayés par Koaci, APA, Linfodrome.</t>
        </is>
      </c>
      <c r="E54" s="9" t="inlineStr">
        <is>
          <t>Basile Ebah, Président du conseil d'administration (message aux actionnaires)</t>
        </is>
      </c>
      <c r="F54" s="9" t="inlineStr">
        <is>
          <t>Non trouvé dans les sources publiques</t>
        </is>
      </c>
      <c r="G54" s="9" t="inlineStr">
        <is>
          <t>X @SODECIofficiel, Facebook, Instagram sodecinet, YouTube présents (liens du site) ; abonnés non relevés.</t>
        </is>
      </c>
      <c r="H54" s="9" t="inlineStr">
        <is>
          <t>Non trouvé dans les sources publiques</t>
        </is>
      </c>
      <c r="I54" s="9" t="inlineStr">
        <is>
          <t>Non trouvé dans les sources publiques</t>
        </is>
      </c>
      <c r="J54" s="9" t="inlineStr">
        <is>
          <t>Septembre 2026 : coupures à Cocody (Akouédo) après une conduite endommagée par un tiers ; réponse par visite de terrain avec journalistes et nouvelle conduite.</t>
        </is>
      </c>
      <c r="K54" s="9" t="inlineStr">
        <is>
          <t>Entreprise résiliente et utile socialement, transparente sur les incidents.</t>
        </is>
      </c>
    </row>
    <row r="55">
      <c r="A55" s="4" t="inlineStr">
        <is>
          <t>PETROCI Holding</t>
        </is>
      </c>
      <c r="B55" s="6" t="inlineStr">
        <is>
          <t>Côte d'Ivoire, entreprise</t>
        </is>
      </c>
      <c r="C55" s="6" t="inlineStr">
        <is>
          <t>Non trouvé dans les sources publiques</t>
        </is>
      </c>
      <c r="D55" s="6" t="inlineStr">
        <is>
          <t>Rubrique actualités sur le site.</t>
        </is>
      </c>
      <c r="E55" s="6" t="inlineStr">
        <is>
          <t>Fatoumata Sanogo, Directeur général depuis le 18 juillet 2023</t>
        </is>
      </c>
      <c r="F55" s="6" t="inlineStr">
        <is>
          <t>Non trouvé dans les sources publiques</t>
        </is>
      </c>
      <c r="G55" s="6" t="inlineStr">
        <is>
          <t>X @PetrociHolding, Facebook, LinkedIn company/petroci, YouTube présents (liens du site) ; abonnés non relevés.</t>
        </is>
      </c>
      <c r="H55" s="6" t="inlineStr">
        <is>
          <t>Non trouvé dans les sources publiques</t>
        </is>
      </c>
      <c r="I55" s="6" t="inlineStr">
        <is>
          <t>Non trouvé dans les sources publiques</t>
        </is>
      </c>
      <c r="J55" s="6" t="inlineStr">
        <is>
          <t>Non trouvé dans les sources publiques</t>
        </is>
      </c>
      <c r="K55" s="6" t="inlineStr">
        <is>
          <t>Bras pétrolier de l'État, au cœur de l'accès au gaz et à l'énergie.</t>
        </is>
      </c>
    </row>
    <row r="56">
      <c r="A56" s="7" t="inlineStr">
        <is>
          <t>SIR (Société Ivoirienne de Raffinage)</t>
        </is>
      </c>
      <c r="B56" s="9" t="inlineStr">
        <is>
          <t>Côte d'Ivoire, entreprise</t>
        </is>
      </c>
      <c r="C56" s="9" t="inlineStr">
        <is>
          <t>Non trouvé dans les sources publiques</t>
        </is>
      </c>
      <c r="D56" s="9" t="inlineStr">
        <is>
          <t>Pas d'espace presse relevé.</t>
        </is>
      </c>
      <c r="E56" s="9" t="inlineStr">
        <is>
          <t>Non trouvé dans les sources publiques</t>
        </is>
      </c>
      <c r="F56" s="9" t="inlineStr">
        <is>
          <t>Non trouvé dans les sources publiques</t>
        </is>
      </c>
      <c r="G56" s="9" t="inlineStr">
        <is>
          <t>Non relevé.</t>
        </is>
      </c>
      <c r="H56" s="9" t="inlineStr">
        <is>
          <t>Non trouvé dans les sources publiques</t>
        </is>
      </c>
      <c r="I56" s="9" t="inlineStr">
        <is>
          <t>1re entreprise ivoirienne par chiffre d'affaires (Sika Finance, 2019 et 2024).</t>
        </is>
      </c>
      <c r="J56" s="9" t="inlineStr">
        <is>
          <t>Non trouvé dans les sources publiques</t>
        </is>
      </c>
      <c r="K56" s="9" t="inlineStr">
        <is>
          <t>Plus de 60 ans d'expertise, viser à « devenir le fournisseur de choix dans la région ».</t>
        </is>
      </c>
    </row>
    <row r="57">
      <c r="A57" s="4" t="inlineStr">
        <is>
          <t>Groupe SIFCA</t>
        </is>
      </c>
      <c r="B57" s="6" t="inlineStr">
        <is>
          <t>Côte d'Ivoire, entreprise</t>
        </is>
      </c>
      <c r="C57" s="6" t="inlineStr">
        <is>
          <t>Non trouvé dans les sources publiques</t>
        </is>
      </c>
      <c r="D57" s="6" t="inlineStr">
        <is>
          <t>Actualités groupe et fondation sur le site ; rapport RSE.</t>
        </is>
      </c>
      <c r="E57" s="6" t="inlineStr">
        <is>
          <t>Non trouvé dans les sources publiques</t>
        </is>
      </c>
      <c r="F57" s="6" t="inlineStr">
        <is>
          <t>Non trouvé dans les sources publiques</t>
        </is>
      </c>
      <c r="G57" s="6" t="inlineStr">
        <is>
          <t>X @gsifca, Facebook groupesifca, YouTube présents (liens du site) ; abonnés non relevés.</t>
        </is>
      </c>
      <c r="H57" s="6" t="inlineStr">
        <is>
          <t>Rapport RSE (2022).</t>
        </is>
      </c>
      <c r="I57" s="6" t="inlineStr">
        <is>
          <t>SIPH classée 3e du classement SPOTT (site).</t>
        </is>
      </c>
      <c r="J57" s="6" t="inlineStr">
        <is>
          <t>Non trouvé dans les sources publiques</t>
        </is>
      </c>
      <c r="K57" s="6" t="inlineStr">
        <is>
          <t>Groupe familial ivoirien qui partage la richesse agricole avec les communautés.</t>
        </is>
      </c>
    </row>
    <row r="58">
      <c r="A58" s="7" t="inlineStr">
        <is>
          <t>SAPH</t>
        </is>
      </c>
      <c r="B58" s="9" t="inlineStr">
        <is>
          <t>Côte d'Ivoire, entreprise</t>
        </is>
      </c>
      <c r="C58" s="9" t="inlineStr">
        <is>
          <t>Non trouvé dans les sources publiques</t>
        </is>
      </c>
      <c r="D58" s="9" t="inlineStr">
        <is>
          <t>Actualités via le site de SIPH (groupe SIFCA).</t>
        </is>
      </c>
      <c r="E58" s="9" t="inlineStr">
        <is>
          <t>Non trouvé dans les sources publiques</t>
        </is>
      </c>
      <c r="F58" s="9" t="inlineStr">
        <is>
          <t>Non trouvé dans les sources publiques</t>
        </is>
      </c>
      <c r="G58" s="9" t="inlineStr">
        <is>
          <t>LinkedIn (page groupe SIFCA) ; autres réseaux non relevés.</t>
        </is>
      </c>
      <c r="H58" s="9" t="inlineStr">
        <is>
          <t>Non trouvé dans les sources publiques</t>
        </is>
      </c>
      <c r="I58" s="9" t="inlineStr">
        <is>
          <t>Distinguée aux Prix santé-sécurité CNPS (mars 2026).</t>
        </is>
      </c>
      <c r="J58" s="9" t="inlineStr">
        <is>
          <t>Non trouvé dans les sources publiques</t>
        </is>
      </c>
      <c r="K58" s="9" t="inlineStr">
        <is>
          <t>Producteur responsable qui investit dans les villages autour de ses plantations.</t>
        </is>
      </c>
    </row>
    <row r="59">
      <c r="A59" s="4" t="inlineStr">
        <is>
          <t>Solibra</t>
        </is>
      </c>
      <c r="B59" s="6" t="inlineStr">
        <is>
          <t>Côte d'Ivoire, entreprise</t>
        </is>
      </c>
      <c r="C59" s="6" t="inlineStr">
        <is>
          <t>Non trouvé dans les sources publiques</t>
        </is>
      </c>
      <c r="D59" s="6" t="inlineStr">
        <is>
          <t>Actualités actionnaires et résultats sur le site.</t>
        </is>
      </c>
      <c r="E59" s="6" t="inlineStr">
        <is>
          <t>Non trouvé dans les sources publiques</t>
        </is>
      </c>
      <c r="F59" s="6" t="inlineStr">
        <is>
          <t>Non trouvé dans les sources publiques</t>
        </is>
      </c>
      <c r="G59" s="6" t="inlineStr">
        <is>
          <t>X @GroupeSolibra, Facebook Solibra.ci, LinkedIn solibra-ci, YouTube présents (liens du site).</t>
        </is>
      </c>
      <c r="H59" s="6" t="inlineStr">
        <is>
          <t>Non trouvé dans les sources publiques</t>
        </is>
      </c>
      <c r="I59" s="6" t="inlineStr">
        <is>
          <t>Non trouvé dans les sources publiques</t>
        </is>
      </c>
      <c r="J59" s="6" t="inlineStr">
        <is>
          <t>Non trouvé dans les sources publiques</t>
        </is>
      </c>
      <c r="K59" s="6" t="inlineStr">
        <is>
          <t>Brasseur historique qui rassemble les Ivoiriens, en croissance record.</t>
        </is>
      </c>
    </row>
    <row r="60">
      <c r="A60" s="7" t="inlineStr">
        <is>
          <t>Air Côte d'Ivoire</t>
        </is>
      </c>
      <c r="B60" s="9" t="inlineStr">
        <is>
          <t>Côte d'Ivoire, entreprise</t>
        </is>
      </c>
      <c r="C60" s="9" t="inlineStr">
        <is>
          <t>Non trouvé dans les sources publiques</t>
        </is>
      </c>
      <c r="D60" s="9" t="inlineStr">
        <is>
          <t>Rubrique communiqués sur le site.</t>
        </is>
      </c>
      <c r="E60" s="9" t="inlineStr">
        <is>
          <t>Laurent Loukou, Directeur général</t>
        </is>
      </c>
      <c r="F60" s="9" t="inlineStr">
        <is>
          <t>Non trouvé dans les sources publiques</t>
        </is>
      </c>
      <c r="G60" s="9" t="inlineStr">
        <is>
          <t>X @AirCI_Officiel, Facebook AirCIofficiel, Instagram travelaircotedivoire, TikTok, YouTube présents (liens du site).</t>
        </is>
      </c>
      <c r="H60" s="9" t="inlineStr">
        <is>
          <t>Non trouvé dans les sources publiques</t>
        </is>
      </c>
      <c r="I60" s="9" t="inlineStr">
        <is>
          <t>Non trouvé dans les sources publiques</t>
        </is>
      </c>
      <c r="J60" s="9" t="inlineStr">
        <is>
          <t>Novembre 2025 : le youtubeur Josh Cahill accuse la compagnie d'arnaque après le vol inaugural Paris-Abidjan ; réponse publique d'un député ; critiques sur un taux de remplissage de 40 %.</t>
        </is>
      </c>
      <c r="K60" s="9" t="inlineStr">
        <is>
          <t>Marque premium qui veut « démocratiser le voyage confortable en Afrique de l'Ouest ».</t>
        </is>
      </c>
    </row>
    <row r="61">
      <c r="A61" s="4" t="inlineStr">
        <is>
          <t>Port Autonome d'Abidjan</t>
        </is>
      </c>
      <c r="B61" s="6" t="inlineStr">
        <is>
          <t>Côte d'Ivoire, entreprise</t>
        </is>
      </c>
      <c r="C61" s="6" t="inlineStr">
        <is>
          <t>Non trouvé dans les sources publiques</t>
        </is>
      </c>
      <c r="D61" s="6" t="inlineStr">
        <is>
          <t>Actualités sur le site.</t>
        </is>
      </c>
      <c r="E61" s="6" t="inlineStr">
        <is>
          <t>Kassoum Traoré, Directeur général par intérim depuis le 4 mai 2026</t>
        </is>
      </c>
      <c r="F61" s="6" t="inlineStr">
        <is>
          <t>Non trouvé dans les sources publiques</t>
        </is>
      </c>
      <c r="G61" s="6" t="inlineStr">
        <is>
          <t>Facebook portabidjan, X @portabidjan, YouTube présents (liens du site).</t>
        </is>
      </c>
      <c r="H61" s="6" t="inlineStr">
        <is>
          <t>Non trouvé dans les sources publiques</t>
        </is>
      </c>
      <c r="I61" s="6" t="inlineStr">
        <is>
          <t>Non trouvé dans les sources publiques</t>
        </is>
      </c>
      <c r="J61" s="6" t="inlineStr">
        <is>
          <t>Importateurs dénonçant des frais jugés abusifs au terminal roulier (lettre ouverte au nouveau DG).</t>
        </is>
      </c>
      <c r="K61" s="6" t="inlineStr">
        <is>
          <t>Port moteur des échanges régionaux.</t>
        </is>
      </c>
    </row>
    <row r="62">
      <c r="A62" s="7" t="inlineStr">
        <is>
          <t>Prosuma</t>
        </is>
      </c>
      <c r="B62" s="9" t="inlineStr">
        <is>
          <t>Côte d'Ivoire, entreprise</t>
        </is>
      </c>
      <c r="C62" s="9" t="inlineStr">
        <is>
          <t>Non trouvé dans les sources publiques</t>
        </is>
      </c>
      <c r="D62" s="9" t="inlineStr">
        <is>
          <t>Pas d'espace presse relevé.</t>
        </is>
      </c>
      <c r="E62" s="9" t="inlineStr">
        <is>
          <t>Non trouvé dans les sources publiques</t>
        </is>
      </c>
      <c r="F62" s="9" t="inlineStr">
        <is>
          <t>Non trouvé dans les sources publiques</t>
        </is>
      </c>
      <c r="G62" s="9" t="inlineStr">
        <is>
          <t>Non relevé.</t>
        </is>
      </c>
      <c r="H62" s="9" t="inlineStr">
        <is>
          <t>Non trouvé dans les sources publiques</t>
        </is>
      </c>
      <c r="I62" s="9" t="inlineStr">
        <is>
          <t>Non trouvé dans les sources publiques</t>
        </is>
      </c>
      <c r="J62" s="9" t="inlineStr">
        <is>
          <t>Non trouvé dans les sources publiques</t>
        </is>
      </c>
      <c r="K62" s="9" t="inlineStr">
        <is>
          <t>Leader historique de la distribution moderne face à la concurrence.</t>
        </is>
      </c>
    </row>
    <row r="63">
      <c r="A63" s="4" t="inlineStr">
        <is>
          <t>Uniwax</t>
        </is>
      </c>
      <c r="B63" s="6" t="inlineStr">
        <is>
          <t>Côte d'Ivoire, entreprise</t>
        </is>
      </c>
      <c r="C63" s="6" t="inlineStr">
        <is>
          <t>Non trouvé dans les sources publiques</t>
        </is>
      </c>
      <c r="D63" s="6" t="inlineStr">
        <is>
          <t>Pas d'espace presse relevé.</t>
        </is>
      </c>
      <c r="E63" s="6" t="inlineStr">
        <is>
          <t>Non trouvé dans les sources publiques</t>
        </is>
      </c>
      <c r="F63" s="6" t="inlineStr">
        <is>
          <t>Non trouvé dans les sources publiques</t>
        </is>
      </c>
      <c r="G63" s="6" t="inlineStr">
        <is>
          <t>X @uniwaxciv, Facebook uniwax, Instagram uniwaxciv, YouTube présents (liens du site).</t>
        </is>
      </c>
      <c r="H63" s="6" t="inlineStr">
        <is>
          <t>Non trouvé dans les sources publiques</t>
        </is>
      </c>
      <c r="I63" s="6" t="inlineStr">
        <is>
          <t>Non trouvé dans les sources publiques</t>
        </is>
      </c>
      <c r="J63" s="6" t="inlineStr">
        <is>
          <t>Résultats 2025 : Sika Finance accuse une communication semestrielle trompeuse (bénéfice annoncé de 8,21 milliards, perte annuelle de 624 millions).</t>
        </is>
      </c>
      <c r="K63" s="6" t="inlineStr">
        <is>
          <t>Le pagne qui raconte vos histoires, fierté nationale depuis 1968.</t>
        </is>
      </c>
    </row>
    <row r="64">
      <c r="A64" s="7" t="inlineStr">
        <is>
          <t>Sania (groupe SIFCA)</t>
        </is>
      </c>
      <c r="B64" s="9" t="inlineStr">
        <is>
          <t>Côte d'Ivoire, entreprise</t>
        </is>
      </c>
      <c r="C64" s="9" t="inlineStr">
        <is>
          <t>Non trouvé dans les sources publiques</t>
        </is>
      </c>
      <c r="D64" s="9" t="inlineStr">
        <is>
          <t>Pas d'espace presse relevé.</t>
        </is>
      </c>
      <c r="E64" s="9" t="inlineStr">
        <is>
          <t>Philippe Raynal, Directeur général (source non officielle)</t>
        </is>
      </c>
      <c r="F64" s="9" t="inlineStr">
        <is>
          <t>Non trouvé dans les sources publiques</t>
        </is>
      </c>
      <c r="G64" s="9" t="inlineStr">
        <is>
          <t>Non relevé.</t>
        </is>
      </c>
      <c r="H64" s="9" t="inlineStr">
        <is>
          <t>Non trouvé dans les sources publiques</t>
        </is>
      </c>
      <c r="I64" s="9" t="inlineStr">
        <is>
          <t>Non trouvé dans les sources publiques</t>
        </is>
      </c>
      <c r="J64" s="9" t="inlineStr">
        <is>
          <t>Non trouvé dans les sources publiques</t>
        </is>
      </c>
      <c r="K64" s="9" t="inlineStr">
        <is>
          <t>Marques d'huile du quotidien des familles ivoiriennes.</t>
        </is>
      </c>
    </row>
    <row r="65">
      <c r="A65" s="4" t="inlineStr">
        <is>
          <t>Présidence de la République de Côte d'Ivoire</t>
        </is>
      </c>
      <c r="B65" s="6" t="inlineStr">
        <is>
          <t>Côte d'Ivoire, État</t>
        </is>
      </c>
      <c r="C65" s="6" t="inlineStr">
        <is>
          <t>https://www.presidence.ci/</t>
        </is>
      </c>
      <c r="D65" s="6" t="inlineStr">
        <is>
          <t>Communiqués de la Présidence et communiqués du Conseil des ministres publiés sur le site.</t>
        </is>
      </c>
      <c r="E65" s="6" t="inlineStr">
        <is>
          <t>Alassane Ouattara, Président de la République ; Masseré Touré-Koné, secrétaire générale de la Présidence (lecture des décrets)</t>
        </is>
      </c>
      <c r="F65" s="6" t="inlineStr">
        <is>
          <t>Non trouvé dans les sources publiques</t>
        </is>
      </c>
      <c r="G65" s="6" t="inlineStr">
        <is>
          <t>Non relevé (pages non lues sans connexion).</t>
        </is>
      </c>
      <c r="H65" s="6" t="inlineStr">
        <is>
          <t>Non trouvé dans les sources publiques</t>
        </is>
      </c>
      <c r="I65" s="6" t="inlineStr">
        <is>
          <t>Non trouvé dans les sources publiques</t>
        </is>
      </c>
      <c r="J65" s="6" t="inlineStr">
        <is>
          <t>Non trouvé dans les sources publiques</t>
        </is>
      </c>
      <c r="K65" s="6" t="inlineStr">
        <is>
          <t>Stabilité et continuité de l'État sous la présidence d'Alassane Ouattara.</t>
        </is>
      </c>
    </row>
    <row r="66">
      <c r="A66" s="7" t="inlineStr">
        <is>
          <t>Gouvernement de Côte d'Ivoire / Primature</t>
        </is>
      </c>
      <c r="B66" s="9" t="inlineStr">
        <is>
          <t>Côte d'Ivoire, État</t>
        </is>
      </c>
      <c r="C66" s="9" t="inlineStr">
        <is>
          <t>https://www.gouv.ci/accueil</t>
        </is>
      </c>
      <c r="D66" s="9" t="inlineStr">
        <is>
          <t>Portail officiel : actualités par thème, Gouv'Photo, comptes rendus du Conseil des ministres.</t>
        </is>
      </c>
      <c r="E66" s="9" t="inlineStr">
        <is>
          <t>Robert Beugré Mambé, Premier ministre (reconduit en janvier 2026) ; porte-parole : Amadou Coulibaly</t>
        </is>
      </c>
      <c r="F66" s="9" t="inlineStr">
        <is>
          <t>Non trouvé dans les sources publiques</t>
        </is>
      </c>
      <c r="G66" s="9" t="inlineStr">
        <is>
          <t>Facebook gouvci.officiel, Instagram, TikTok @gouvciofficiel, X @Gouvciofficiel, YouTube gouvcivideo (liens du site).</t>
        </is>
      </c>
      <c r="H66" s="9" t="inlineStr">
        <is>
          <t>Non trouvé dans les sources publiques</t>
        </is>
      </c>
      <c r="I66" s="9" t="inlineStr">
        <is>
          <t>Non trouvé dans les sources publiques</t>
        </is>
      </c>
      <c r="J66" s="9" t="inlineStr">
        <is>
          <t>Non trouvé dans les sources publiques</t>
        </is>
      </c>
      <c r="K66" s="9" t="inlineStr">
        <is>
          <t>Un gouvernement qui rend compte de ses actions au quotidien.</t>
        </is>
      </c>
    </row>
    <row r="67">
      <c r="A67" s="4" t="inlineStr">
        <is>
          <t>Ministère de la Communication, Porte-Parole du Gouvernement</t>
        </is>
      </c>
      <c r="B67" s="6" t="inlineStr">
        <is>
          <t>Côte d'Ivoire, État</t>
        </is>
      </c>
      <c r="C67" s="6" t="inlineStr">
        <is>
          <t>https://www.communication.gouv.ci/accueil</t>
        </is>
      </c>
      <c r="D67" s="6" t="inlineStr">
        <is>
          <t>Actualités, biographie du ministre, chiffres clés (presse numérique, classement RSF).</t>
        </is>
      </c>
      <c r="E67" s="6" t="inlineStr">
        <is>
          <t>Amadou Coulibaly, ministre de la Communication, porte-parole du Gouvernement (reconduit le 23 janvier 2026 ; toujours en fonction le 20 octobre 2026)</t>
        </is>
      </c>
      <c r="F67" s="6" t="inlineStr">
        <is>
          <t>Non trouvé dans les sources publiques</t>
        </is>
      </c>
      <c r="G67" s="6" t="inlineStr">
        <is>
          <t>X @MINCOM_CI, Facebook communicationci, TikTok, YouTube @CommunicationRCI.</t>
        </is>
      </c>
      <c r="H67" s="6" t="inlineStr">
        <is>
          <t>Non trouvé dans les sources publiques</t>
        </is>
      </c>
      <c r="I67" s="6" t="inlineStr">
        <is>
          <t>Non trouvé dans les sources publiques</t>
        </is>
      </c>
      <c r="J67" s="6" t="inlineStr">
        <is>
          <t>Non trouvé dans les sources publiques</t>
        </is>
      </c>
      <c r="K67" s="6" t="inlineStr">
        <is>
          <t>Porter la parole du gouvernement et moderniser le paysage médiatique.</t>
        </is>
      </c>
    </row>
    <row r="68">
      <c r="A68" s="7" t="inlineStr">
        <is>
          <t>CICG (Centre d'Information et de Communication Gouvernementale)</t>
        </is>
      </c>
      <c r="B68" s="9" t="inlineStr">
        <is>
          <t>Côte d'Ivoire, État</t>
        </is>
      </c>
      <c r="C68" s="9" t="inlineStr">
        <is>
          <t>https://www.cicg.gouv.ci/accueil</t>
        </is>
      </c>
      <c r="D68" s="9" t="inlineStr">
        <is>
          <t>Agenda, tribunes, points de presse, Allo 101.</t>
        </is>
      </c>
      <c r="E68" s="9" t="inlineStr">
        <is>
          <t>Non trouvé dans les sources publiques</t>
        </is>
      </c>
      <c r="F68" s="9" t="inlineStr">
        <is>
          <t>Non trouvé dans les sources publiques</t>
        </is>
      </c>
      <c r="G68" s="9" t="inlineStr">
        <is>
          <t>Partage des comptes gouv.ci.</t>
        </is>
      </c>
      <c r="H68" s="9" t="inlineStr">
        <is>
          <t>Non trouvé dans les sources publiques</t>
        </is>
      </c>
      <c r="I68" s="9" t="inlineStr">
        <is>
          <t>Non trouvé dans les sources publiques</t>
        </is>
      </c>
      <c r="J68" s="9" t="inlineStr">
        <is>
          <t>Non trouvé dans les sources publiques</t>
        </is>
      </c>
      <c r="K68" s="9" t="inlineStr">
        <is>
          <t>Information citoyenne sur l'action gouvernementale.</t>
        </is>
      </c>
    </row>
    <row r="69">
      <c r="A69" s="4" t="inlineStr">
        <is>
          <t>Marque pays « Sublime Côte d'Ivoire » (tourisme)</t>
        </is>
      </c>
      <c r="B69" s="6" t="inlineStr">
        <is>
          <t>Côte d'Ivoire, État</t>
        </is>
      </c>
      <c r="C69" s="6" t="inlineStr">
        <is>
          <t>Non trouvé dans les sources publiques</t>
        </is>
      </c>
      <c r="D69" s="6" t="inlineStr">
        <is>
          <t>Actualités du ministère du Tourisme et des Loisirs.</t>
        </is>
      </c>
      <c r="E69" s="6" t="inlineStr">
        <is>
          <t>Siandou Fofana, ministre du Tourisme et des Loisirs (gouvernement du 23/01/2026)</t>
        </is>
      </c>
      <c r="F69" s="6" t="inlineStr">
        <is>
          <t>Non trouvé dans les sources publiques</t>
        </is>
      </c>
      <c r="G69" s="6" t="inlineStr">
        <is>
          <t>Non relevé.</t>
        </is>
      </c>
      <c r="H69" s="6" t="inlineStr">
        <is>
          <t>Non trouvé dans les sources publiques</t>
        </is>
      </c>
      <c r="I69" s="6" t="inlineStr">
        <is>
          <t>Brand Finance Global Soft Power Index 2025 : 94e mondial (34,1/100) ; édition 2026 non lue.</t>
        </is>
      </c>
      <c r="J69" s="6" t="inlineStr">
        <is>
          <t>Non trouvé dans les sources publiques</t>
        </is>
      </c>
      <c r="K69" s="6" t="inlineStr">
        <is>
          <t>Destination sûre et sportive, promue via des partenariats comme l'OM (juillet 2026).</t>
        </is>
      </c>
    </row>
  </sheetData>
  <autoFilter ref="A4:K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4"/>
  <sheetViews>
    <sheetView workbookViewId="0">
      <selection activeCell="A1" sqref="A1"/>
    </sheetView>
  </sheetViews>
  <sheetFormatPr baseColWidth="8" defaultRowHeight="15"/>
  <cols>
    <col width="28" customWidth="1" min="1" max="1"/>
    <col width="16" customWidth="1" min="2" max="2"/>
    <col width="110" customWidth="1" min="3" max="3"/>
  </cols>
  <sheetData>
    <row r="1" ht="26" customHeight="1">
      <c r="A1" s="1" t="inlineStr">
        <is>
          <t>Sources consultées</t>
        </is>
      </c>
    </row>
    <row r="2">
      <c r="A2" s="2" t="inlineStr">
        <is>
          <t>Liens tels que relevés le 24/10/2026.</t>
        </is>
      </c>
    </row>
    <row r="4" ht="32" customHeight="1">
      <c r="A4" s="3" t="inlineStr">
        <is>
          <t>Marque</t>
        </is>
      </c>
      <c r="B4" s="3" t="inlineStr">
        <is>
          <t>Partie</t>
        </is>
      </c>
      <c r="C4" s="3" t="inlineStr">
        <is>
          <t>Source</t>
        </is>
      </c>
    </row>
    <row r="5">
      <c r="A5" s="4" t="inlineStr">
        <is>
          <t>Accor</t>
        </is>
      </c>
      <c r="B5" s="6" t="inlineStr">
        <is>
          <t>Identité</t>
        </is>
      </c>
      <c r="C5" s="6" t="inlineStr">
        <is>
          <t>https://group.accor.com/files/accor-brandbook-english.pdf</t>
        </is>
      </c>
    </row>
    <row r="6">
      <c r="A6" s="7" t="inlineStr">
        <is>
          <t>Accor</t>
        </is>
      </c>
      <c r="B6" s="9" t="inlineStr">
        <is>
          <t>Identité</t>
        </is>
      </c>
      <c r="C6" s="9" t="inlineStr">
        <is>
          <t>https://group.accor.com/-/media/Corporate/Investors/Documents-de-reference/ACCOR_DEU2024_F</t>
        </is>
      </c>
    </row>
    <row r="7">
      <c r="A7" s="4" t="inlineStr">
        <is>
          <t>Accor</t>
        </is>
      </c>
      <c r="B7" s="6" t="inlineStr">
        <is>
          <t>Identité</t>
        </is>
      </c>
      <c r="C7" s="6" t="inlineStr">
        <is>
          <t>https://rebrand.com/distinction-accor</t>
        </is>
      </c>
    </row>
    <row r="8">
      <c r="A8" s="7" t="inlineStr">
        <is>
          <t>Accor</t>
        </is>
      </c>
      <c r="B8" s="9" t="inlineStr">
        <is>
          <t>Identité</t>
        </is>
      </c>
      <c r="C8" s="9" t="inlineStr">
        <is>
          <t>https://press.accor.com/h1unveils-new-lifestyle-loyalty-programh1bringing-augmented-hospit</t>
        </is>
      </c>
    </row>
    <row r="9">
      <c r="A9" s="4" t="inlineStr">
        <is>
          <t>Accor</t>
        </is>
      </c>
      <c r="B9" s="6" t="inlineStr">
        <is>
          <t>Presse et image</t>
        </is>
      </c>
      <c r="C9" s="6" t="inlineStr">
        <is>
          <t>https://business-humanrights.org/it/ultime-notizie/accors-response-2</t>
        </is>
      </c>
    </row>
    <row r="10">
      <c r="A10" s="7" t="inlineStr">
        <is>
          <t>Accor</t>
        </is>
      </c>
      <c r="B10" s="9" t="inlineStr">
        <is>
          <t>Presse et image</t>
        </is>
      </c>
      <c r="C10" s="9" t="inlineStr">
        <is>
          <t>https://group.accor.com/files/accor-strengthens-commitment-against-child-sexual-exploitati</t>
        </is>
      </c>
    </row>
    <row r="11">
      <c r="A11" s="4" t="inlineStr">
        <is>
          <t>Accor</t>
        </is>
      </c>
      <c r="B11" s="6" t="inlineStr">
        <is>
          <t>Presse et image</t>
        </is>
      </c>
      <c r="C11" s="6" t="inlineStr">
        <is>
          <t>https://group.accor.com/en/news-stories/sebastien-bazin-accor-purpose-vision-hospitality</t>
        </is>
      </c>
    </row>
    <row r="12">
      <c r="A12" s="7" t="inlineStr">
        <is>
          <t>Airbus</t>
        </is>
      </c>
      <c r="B12" s="9" t="inlineStr">
        <is>
          <t>Identité</t>
        </is>
      </c>
      <c r="C12" s="9" t="inlineStr">
        <is>
          <t>https://www.airbus.com/en/about-us</t>
        </is>
      </c>
    </row>
    <row r="13">
      <c r="A13" s="4" t="inlineStr">
        <is>
          <t>Airbus</t>
        </is>
      </c>
      <c r="B13" s="6" t="inlineStr">
        <is>
          <t>Identité</t>
        </is>
      </c>
      <c r="C13" s="6" t="inlineStr">
        <is>
          <t>https://airbus.com/en/about-us/our-values</t>
        </is>
      </c>
    </row>
    <row r="14">
      <c r="A14" s="7" t="inlineStr">
        <is>
          <t>Airbus</t>
        </is>
      </c>
      <c r="B14" s="9" t="inlineStr">
        <is>
          <t>Identité</t>
        </is>
      </c>
      <c r="C14" s="9" t="inlineStr">
        <is>
          <t>https://www.brand.airbus.com/en/airbus-brand-centre</t>
        </is>
      </c>
    </row>
    <row r="15">
      <c r="A15" s="4" t="inlineStr">
        <is>
          <t>Airbus</t>
        </is>
      </c>
      <c r="B15" s="6" t="inlineStr">
        <is>
          <t>Identité</t>
        </is>
      </c>
      <c r="C15" s="6" t="inlineStr">
        <is>
          <t>https://www.brand.airbus.com/en/asset-library/airbus-logo</t>
        </is>
      </c>
    </row>
    <row r="16">
      <c r="A16" s="7" t="inlineStr">
        <is>
          <t>Airbus</t>
        </is>
      </c>
      <c r="B16" s="9" t="inlineStr">
        <is>
          <t>Identité</t>
        </is>
      </c>
      <c r="C16" s="9" t="inlineStr">
        <is>
          <t>https://logo-index.com/airlines/airbus</t>
        </is>
      </c>
    </row>
    <row r="17">
      <c r="A17" s="4" t="inlineStr">
        <is>
          <t>Airbus</t>
        </is>
      </c>
      <c r="B17" s="6" t="inlineStr">
        <is>
          <t>Presse et image</t>
        </is>
      </c>
      <c r="C17" s="6" t="inlineStr">
        <is>
          <t>https://lemonde.fr/economie/article/2025/12/10/airbus-a320-le-probleme-de-defaut-de-logici</t>
        </is>
      </c>
    </row>
    <row r="18">
      <c r="A18" s="7" t="inlineStr">
        <is>
          <t>Airbus</t>
        </is>
      </c>
      <c r="B18" s="9" t="inlineStr">
        <is>
          <t>Presse et image</t>
        </is>
      </c>
      <c r="C18" s="9" t="inlineStr">
        <is>
          <t>https://huffingtonpost.fr/international/article/airbus-ce-que-l-on-sait-du-logiciel-defail</t>
        </is>
      </c>
    </row>
    <row r="19">
      <c r="A19" s="4" t="inlineStr">
        <is>
          <t>Airbus</t>
        </is>
      </c>
      <c r="B19" s="6" t="inlineStr">
        <is>
          <t>Presse et image</t>
        </is>
      </c>
      <c r="C19" s="6" t="inlineStr">
        <is>
          <t>https://x.com/GuillaumeFaury</t>
        </is>
      </c>
    </row>
    <row r="20">
      <c r="A20" s="7" t="inlineStr">
        <is>
          <t>Airbus</t>
        </is>
      </c>
      <c r="B20" s="9" t="inlineStr">
        <is>
          <t>Presse et image</t>
        </is>
      </c>
      <c r="C20" s="9" t="inlineStr">
        <is>
          <t>https://linkedin.com/in/guillaume-faury</t>
        </is>
      </c>
    </row>
    <row r="21">
      <c r="A21" s="4" t="inlineStr">
        <is>
          <t>Air Liquide</t>
        </is>
      </c>
      <c r="B21" s="6" t="inlineStr">
        <is>
          <t>Identité</t>
        </is>
      </c>
      <c r="C21" s="6" t="inlineStr">
        <is>
          <t>https://www.airliquide.com/sites/airliquide.com/files/2017/01/13/air_liquide_announces_a_n</t>
        </is>
      </c>
    </row>
    <row r="22">
      <c r="A22" s="7" t="inlineStr">
        <is>
          <t>Air Liquide</t>
        </is>
      </c>
      <c r="B22" s="9" t="inlineStr">
        <is>
          <t>Identité</t>
        </is>
      </c>
      <c r="C22" s="9" t="inlineStr">
        <is>
          <t>https://www.airliquide.com/group/press-releases-news/2014-01-06/air-liquide-group-unveils-</t>
        </is>
      </c>
    </row>
    <row r="23">
      <c r="A23" s="4" t="inlineStr">
        <is>
          <t>Air Liquide</t>
        </is>
      </c>
      <c r="B23" s="6" t="inlineStr">
        <is>
          <t>Identité</t>
        </is>
      </c>
      <c r="C23" s="6" t="inlineStr">
        <is>
          <t>https://www.airliquide.com/sites/airliquide.com/files/2025-12/09-12-2025-statuts-vf.pdf</t>
        </is>
      </c>
    </row>
    <row r="24">
      <c r="A24" s="7" t="inlineStr">
        <is>
          <t>Air Liquide</t>
        </is>
      </c>
      <c r="B24" s="9" t="inlineStr">
        <is>
          <t>Presse et image</t>
        </is>
      </c>
      <c r="C24" s="9" t="inlineStr">
        <is>
          <t>https://airliquide.com/fr</t>
        </is>
      </c>
    </row>
    <row r="25">
      <c r="A25" s="4" t="inlineStr">
        <is>
          <t>Air Liquide</t>
        </is>
      </c>
      <c r="B25" s="6" t="inlineStr">
        <is>
          <t>Presse et image</t>
        </is>
      </c>
      <c r="C25" s="6" t="inlineStr">
        <is>
          <t>https://airliquide.com/fr/groupe/communiques-presse-actualites/28-07-2026/resultats-s</t>
        </is>
      </c>
    </row>
    <row r="26">
      <c r="A26" s="7" t="inlineStr">
        <is>
          <t>ArcelorMittal</t>
        </is>
      </c>
      <c r="B26" s="9" t="inlineStr">
        <is>
          <t>Identité</t>
        </is>
      </c>
      <c r="C26" s="9" t="inlineStr">
        <is>
          <t>https://corporate.arcelormittal.com/about/our-purpose</t>
        </is>
      </c>
    </row>
    <row r="27">
      <c r="A27" s="4" t="inlineStr">
        <is>
          <t>ArcelorMittal</t>
        </is>
      </c>
      <c r="B27" s="6" t="inlineStr">
        <is>
          <t>Identité</t>
        </is>
      </c>
      <c r="C27" s="6" t="inlineStr">
        <is>
          <t>https://northamerica.arcelormittal.com/about-us/our-purpose</t>
        </is>
      </c>
    </row>
    <row r="28">
      <c r="A28" s="7" t="inlineStr">
        <is>
          <t>ArcelorMittal</t>
        </is>
      </c>
      <c r="B28" s="9" t="inlineStr">
        <is>
          <t>Identité</t>
        </is>
      </c>
      <c r="C28" s="9" t="inlineStr">
        <is>
          <t>https://long-canada.arcelormittal.com/en/news-media/brand-promise-revised-values-and-</t>
        </is>
      </c>
    </row>
    <row r="29">
      <c r="A29" s="4" t="inlineStr">
        <is>
          <t>ArcelorMittal</t>
        </is>
      </c>
      <c r="B29" s="6" t="inlineStr">
        <is>
          <t>Identité</t>
        </is>
      </c>
      <c r="C29" s="6" t="inlineStr">
        <is>
          <t>https://corporate.arcelormittal.com/about-us/our-values</t>
        </is>
      </c>
    </row>
    <row r="30">
      <c r="A30" s="7" t="inlineStr">
        <is>
          <t>ArcelorMittal</t>
        </is>
      </c>
      <c r="B30" s="9" t="inlineStr">
        <is>
          <t>Identité</t>
        </is>
      </c>
      <c r="C30" s="9" t="inlineStr">
        <is>
          <t>https://automotive.arcelormittal.com/who_we_are/purpose</t>
        </is>
      </c>
    </row>
    <row r="31">
      <c r="A31" s="4" t="inlineStr">
        <is>
          <t>ArcelorMittal</t>
        </is>
      </c>
      <c r="B31" s="6" t="inlineStr">
        <is>
          <t>Presse et image</t>
        </is>
      </c>
      <c r="C31" s="6" t="inlineStr">
        <is>
          <t>https://lemonde.fr/economie/article/2025/03/10/industrie-l-arret-provisoire-d-un-haut-four</t>
        </is>
      </c>
    </row>
    <row r="32">
      <c r="A32" s="7" t="inlineStr">
        <is>
          <t>ArcelorMittal</t>
        </is>
      </c>
      <c r="B32" s="9" t="inlineStr">
        <is>
          <t>Presse et image</t>
        </is>
      </c>
      <c r="C32" s="9" t="inlineStr">
        <is>
          <t>https://www.humanite.fr/social-et-economie/aides-publiques/arcelormital-pourquoi-le-s</t>
        </is>
      </c>
    </row>
    <row r="33">
      <c r="A33" s="4" t="inlineStr">
        <is>
          <t>ArcelorMittal</t>
        </is>
      </c>
      <c r="B33" s="6" t="inlineStr">
        <is>
          <t>Presse et image</t>
        </is>
      </c>
      <c r="C33" s="6" t="inlineStr">
        <is>
          <t>https://inkl.com/news/arcelormittal-invests-1-3-billion-to-produce-green-steel-at-its-dunk</t>
        </is>
      </c>
    </row>
    <row r="34">
      <c r="A34" s="7" t="inlineStr">
        <is>
          <t>AXA</t>
        </is>
      </c>
      <c r="B34" s="9" t="inlineStr">
        <is>
          <t>Identité</t>
        </is>
      </c>
      <c r="C34" s="9" t="inlineStr">
        <is>
          <t>https://brand.designsystem.axa.com/brand-identity-evolution-2025/</t>
        </is>
      </c>
    </row>
    <row r="35">
      <c r="A35" s="4" t="inlineStr">
        <is>
          <t>AXA</t>
        </is>
      </c>
      <c r="B35" s="6" t="inlineStr">
        <is>
          <t>Identité</t>
        </is>
      </c>
      <c r="C35" s="6" t="inlineStr">
        <is>
          <t>https://group.axa.com/en/newsroom/press-releases/axa-group-unveils-its-new-global-brand-po</t>
        </is>
      </c>
    </row>
    <row r="36">
      <c r="A36" s="7" t="inlineStr">
        <is>
          <t>AXA</t>
        </is>
      </c>
      <c r="B36" s="9" t="inlineStr">
        <is>
          <t>Presse et image</t>
        </is>
      </c>
      <c r="C36" s="9" t="inlineStr">
        <is>
          <t>https://axa.com/fr/presse/communiques-de-presse/axa-accelere-le-deploiement-de-l-inte</t>
        </is>
      </c>
    </row>
    <row r="37">
      <c r="A37" s="4" t="inlineStr">
        <is>
          <t>AXA</t>
        </is>
      </c>
      <c r="B37" s="6" t="inlineStr">
        <is>
          <t>Presse et image</t>
        </is>
      </c>
      <c r="C37" s="6" t="inlineStr">
        <is>
          <t>https://www.merca20.com/the-500-most-valuable-brands-according-to-the-brand-finance-2025-r</t>
        </is>
      </c>
    </row>
    <row r="38">
      <c r="A38" s="7" t="inlineStr">
        <is>
          <t>AXA</t>
        </is>
      </c>
      <c r="B38" s="9" t="inlineStr">
        <is>
          <t>Presse et image</t>
        </is>
      </c>
      <c r="C38" s="9" t="inlineStr">
        <is>
          <t>https://50pros.com/most-valuable-brands</t>
        </is>
      </c>
    </row>
    <row r="39">
      <c r="A39" s="4" t="inlineStr">
        <is>
          <t>AXA</t>
        </is>
      </c>
      <c r="B39" s="6" t="inlineStr">
        <is>
          <t>Presse et image</t>
        </is>
      </c>
      <c r="C39" s="6" t="inlineStr">
        <is>
          <t>https://axa.com/en/about-us/profile/thbuberl</t>
        </is>
      </c>
    </row>
    <row r="40">
      <c r="A40" s="7" t="inlineStr">
        <is>
          <t>BNP Paribas</t>
        </is>
      </c>
      <c r="B40" s="9" t="inlineStr">
        <is>
          <t>Identité</t>
        </is>
      </c>
      <c r="C40" s="9" t="inlineStr">
        <is>
          <t>https://www.bnpparibas.com/</t>
        </is>
      </c>
    </row>
    <row r="41">
      <c r="A41" s="4" t="inlineStr">
        <is>
          <t>BNP Paribas</t>
        </is>
      </c>
      <c r="B41" s="6" t="inlineStr">
        <is>
          <t>Identité</t>
        </is>
      </c>
      <c r="C41" s="6" t="inlineStr">
        <is>
          <t>https://histoire.bnpparibas/en/the-evolution-of-the-bnp-paribas-brand/</t>
        </is>
      </c>
    </row>
    <row r="42">
      <c r="A42" s="7" t="inlineStr">
        <is>
          <t>BNP Paribas</t>
        </is>
      </c>
      <c r="B42" s="9" t="inlineStr">
        <is>
          <t>Identité</t>
        </is>
      </c>
      <c r="C42" s="9" t="inlineStr">
        <is>
          <t>https://en.wikipedia.org/wiki/BNP_Paribas</t>
        </is>
      </c>
    </row>
    <row r="43">
      <c r="A43" s="4" t="inlineStr">
        <is>
          <t>BNP Paribas</t>
        </is>
      </c>
      <c r="B43" s="6" t="inlineStr">
        <is>
          <t>Identité</t>
        </is>
      </c>
      <c r="C43" s="6" t="inlineStr">
        <is>
          <t>https://www.leparisien.fr/economie/emploi/top-employeur/bnp-paribas-les-quatre-piliers-de-</t>
        </is>
      </c>
    </row>
    <row r="44">
      <c r="A44" s="7" t="inlineStr">
        <is>
          <t>BNP Paribas</t>
        </is>
      </c>
      <c r="B44" s="9" t="inlineStr">
        <is>
          <t>Presse et image</t>
        </is>
      </c>
      <c r="C44" s="9" t="inlineStr">
        <is>
          <t>https://invest.bnpparibas.com</t>
        </is>
      </c>
    </row>
    <row r="45">
      <c r="A45" s="4" t="inlineStr">
        <is>
          <t>BNP Paribas</t>
        </is>
      </c>
      <c r="B45" s="6" t="inlineStr">
        <is>
          <t>Presse et image</t>
        </is>
      </c>
      <c r="C45" s="6" t="inlineStr">
        <is>
          <t>https://group.bnpparibas/en/contacts</t>
        </is>
      </c>
    </row>
    <row r="46">
      <c r="A46" s="7" t="inlineStr">
        <is>
          <t>BNP Paribas</t>
        </is>
      </c>
      <c r="B46" s="9" t="inlineStr">
        <is>
          <t>Presse et image</t>
        </is>
      </c>
      <c r="C46" s="9" t="inlineStr">
        <is>
          <t>https://lemonde.fr/en/global-issues/article/2025/10/20/bnp-paribas-shares-plumet-after-us-</t>
        </is>
      </c>
    </row>
    <row r="47">
      <c r="A47" s="4" t="inlineStr">
        <is>
          <t>BNP Paribas</t>
        </is>
      </c>
      <c r="B47" s="6" t="inlineStr">
        <is>
          <t>Presse et image</t>
        </is>
      </c>
      <c r="C47" s="6" t="inlineStr">
        <is>
          <t>https://fortune.com/2025/10/18/bnp-paribas-france-largest-bank-21-million-verdict-sudan-at</t>
        </is>
      </c>
    </row>
    <row r="48">
      <c r="A48" s="7" t="inlineStr">
        <is>
          <t>Bouygues</t>
        </is>
      </c>
      <c r="B48" s="9" t="inlineStr">
        <is>
          <t>Identité</t>
        </is>
      </c>
      <c r="C48" s="9" t="inlineStr">
        <is>
          <t>https://bouygues.com</t>
        </is>
      </c>
    </row>
    <row r="49">
      <c r="A49" s="4" t="inlineStr">
        <is>
          <t>Bouygues</t>
        </is>
      </c>
      <c r="B49" s="6" t="inlineStr">
        <is>
          <t>Identité</t>
        </is>
      </c>
      <c r="C49" s="6" t="inlineStr">
        <is>
          <t>https://www.bouygues.com/app/uploads/2022/12/code-dethique-frfr.pdf</t>
        </is>
      </c>
    </row>
    <row r="50">
      <c r="A50" s="7" t="inlineStr">
        <is>
          <t>Bouygues</t>
        </is>
      </c>
      <c r="B50" s="9" t="inlineStr">
        <is>
          <t>Presse et image</t>
        </is>
      </c>
      <c r="C50" s="9" t="inlineStr">
        <is>
          <t>https://www.bouygues.com/contacts-presse</t>
        </is>
      </c>
    </row>
    <row r="51">
      <c r="A51" s="4" t="inlineStr">
        <is>
          <t>Bouygues</t>
        </is>
      </c>
      <c r="B51" s="6" t="inlineStr">
        <is>
          <t>Presse et image</t>
        </is>
      </c>
      <c r="C51" s="6" t="inlineStr">
        <is>
          <t>https://brandfinance.com/press-releases/orange-se-classe-8e-parmi-les-150-premieres-marque</t>
        </is>
      </c>
    </row>
    <row r="52">
      <c r="A52" s="7" t="inlineStr">
        <is>
          <t>Bouygues</t>
        </is>
      </c>
      <c r="B52" s="9" t="inlineStr">
        <is>
          <t>Presse et image</t>
        </is>
      </c>
      <c r="C52" s="9" t="inlineStr">
        <is>
          <t>https://tech-insider.org/fr/sfr-altice-rachat-20-milliards-bouygues-iliad-orange-2026</t>
        </is>
      </c>
    </row>
    <row r="53">
      <c r="A53" s="4" t="inlineStr">
        <is>
          <t>Bureau Veritas</t>
        </is>
      </c>
      <c r="B53" s="6" t="inlineStr">
        <is>
          <t>Identité</t>
        </is>
      </c>
      <c r="C53" s="6" t="inlineStr">
        <is>
          <t>http://group.bureauveritas.com/about-us/vision-mission-strategy</t>
        </is>
      </c>
    </row>
    <row r="54">
      <c r="A54" s="7" t="inlineStr">
        <is>
          <t>Bureau Veritas</t>
        </is>
      </c>
      <c r="B54" s="9" t="inlineStr">
        <is>
          <t>Identité</t>
        </is>
      </c>
      <c r="C54" s="9" t="inlineStr">
        <is>
          <t>https://bureauveritas.vn/en/who-we-are/our-values</t>
        </is>
      </c>
    </row>
    <row r="55">
      <c r="A55" s="4" t="inlineStr">
        <is>
          <t>Bureau Veritas</t>
        </is>
      </c>
      <c r="B55" s="6" t="inlineStr">
        <is>
          <t>Identité</t>
        </is>
      </c>
      <c r="C55" s="6" t="inlineStr">
        <is>
          <t>https://cps.bureauveritas.com/who-we-are/our-history</t>
        </is>
      </c>
    </row>
    <row r="56">
      <c r="A56" s="7" t="inlineStr">
        <is>
          <t>Bureau Veritas</t>
        </is>
      </c>
      <c r="B56" s="9" t="inlineStr">
        <is>
          <t>Identité</t>
        </is>
      </c>
      <c r="C56" s="9" t="inlineStr">
        <is>
          <t>https://www.bvna.com/bureau-veritas-logo-guidelines</t>
        </is>
      </c>
    </row>
    <row r="57">
      <c r="A57" s="4" t="inlineStr">
        <is>
          <t>Bureau Veritas</t>
        </is>
      </c>
      <c r="B57" s="6" t="inlineStr">
        <is>
          <t>Presse et image</t>
        </is>
      </c>
      <c r="C57" s="6" t="inlineStr">
        <is>
          <t>https://group.bureauveritas.com/newsroom/changes-bureau-veritas-corporate-governance</t>
        </is>
      </c>
    </row>
    <row r="58">
      <c r="A58" s="7" t="inlineStr">
        <is>
          <t>Bureau Veritas</t>
        </is>
      </c>
      <c r="B58" s="9" t="inlineStr">
        <is>
          <t>Presse et image</t>
        </is>
      </c>
      <c r="C58" s="9" t="inlineStr">
        <is>
          <t>https://linkedin.com/company/162834</t>
        </is>
      </c>
    </row>
    <row r="59">
      <c r="A59" s="4" t="inlineStr">
        <is>
          <t>Bureau Veritas</t>
        </is>
      </c>
      <c r="B59" s="6" t="inlineStr">
        <is>
          <t>Presse et image</t>
        </is>
      </c>
      <c r="C59" s="6" t="inlineStr">
        <is>
          <t>https://www.bureauveritas.fr/magazine</t>
        </is>
      </c>
    </row>
    <row r="60">
      <c r="A60" s="7" t="inlineStr">
        <is>
          <t>Capgemini</t>
        </is>
      </c>
      <c r="B60" s="9" t="inlineStr">
        <is>
          <t>Identité</t>
        </is>
      </c>
      <c r="C60" s="9" t="inlineStr">
        <is>
          <t>https://capgemini.com/fr-fr/wp-content/uploads/sites/2/2021/01/Brochure_RSE-Capgemini</t>
        </is>
      </c>
    </row>
    <row r="61">
      <c r="A61" s="4" t="inlineStr">
        <is>
          <t>Capgemini</t>
        </is>
      </c>
      <c r="B61" s="6" t="inlineStr">
        <is>
          <t>Identité</t>
        </is>
      </c>
      <c r="C61" s="6" t="inlineStr">
        <is>
          <t>https://www.capgemini.com/news/press-releases/capgemini-looks-to-the-future-with-a-ne</t>
        </is>
      </c>
    </row>
    <row r="62">
      <c r="A62" s="7" t="inlineStr">
        <is>
          <t>Capgemini</t>
        </is>
      </c>
      <c r="B62" s="9" t="inlineStr">
        <is>
          <t>Identité</t>
        </is>
      </c>
      <c r="C62" s="9" t="inlineStr">
        <is>
          <t>https://capgemini.com/news/get-the-future-you-want</t>
        </is>
      </c>
    </row>
    <row r="63">
      <c r="A63" s="4" t="inlineStr">
        <is>
          <t>Capgemini</t>
        </is>
      </c>
      <c r="B63" s="6" t="inlineStr">
        <is>
          <t>Identité</t>
        </is>
      </c>
      <c r="C63" s="6" t="inlineStr">
        <is>
          <t>https://capgemini.com/about-us/who-we-are/values-and-ethics</t>
        </is>
      </c>
    </row>
    <row r="64">
      <c r="A64" s="7" t="inlineStr">
        <is>
          <t>Capgemini</t>
        </is>
      </c>
      <c r="B64" s="9" t="inlineStr">
        <is>
          <t>Identité</t>
        </is>
      </c>
      <c r="C64" s="9" t="inlineStr">
        <is>
          <t>https://www.capgemini.com/fr-fr/actualites/communiques-de-presse/capgemini-devoile-sa-rais</t>
        </is>
      </c>
    </row>
    <row r="65">
      <c r="A65" s="4" t="inlineStr">
        <is>
          <t>Capgemini</t>
        </is>
      </c>
      <c r="B65" s="6" t="inlineStr">
        <is>
          <t>Presse et image</t>
        </is>
      </c>
      <c r="C65" s="6" t="inlineStr">
        <is>
          <t>https://www.reuters.com/business/french-tech-company-capgemini-sell-us-unit-linked-ic</t>
        </is>
      </c>
    </row>
    <row r="66">
      <c r="A66" s="7" t="inlineStr">
        <is>
          <t>Capgemini</t>
        </is>
      </c>
      <c r="B66" s="9" t="inlineStr">
        <is>
          <t>Presse et image</t>
        </is>
      </c>
      <c r="C66" s="9" t="inlineStr">
        <is>
          <t>https://www.euronews.com/2026/09/12/capgemini-sells-us-subsidiary-criticised-over-ice</t>
        </is>
      </c>
    </row>
    <row r="67">
      <c r="A67" s="4" t="inlineStr">
        <is>
          <t>Capgemini</t>
        </is>
      </c>
      <c r="B67" s="6" t="inlineStr">
        <is>
          <t>Presse et image</t>
        </is>
      </c>
      <c r="C67" s="6" t="inlineStr">
        <is>
          <t>https://www.capgemini.com/contact-us</t>
        </is>
      </c>
    </row>
    <row r="68">
      <c r="A68" s="7" t="inlineStr">
        <is>
          <t>Carrefour</t>
        </is>
      </c>
      <c r="B68" s="9" t="inlineStr">
        <is>
          <t>Identité</t>
        </is>
      </c>
      <c r="C68" s="9" t="inlineStr">
        <is>
          <t>https://www.carrefour.com/en/group/history</t>
        </is>
      </c>
    </row>
    <row r="69">
      <c r="A69" s="4" t="inlineStr">
        <is>
          <t>Carrefour</t>
        </is>
      </c>
      <c r="B69" s="6" t="inlineStr">
        <is>
          <t>Identité</t>
        </is>
      </c>
      <c r="C69" s="6" t="inlineStr">
        <is>
          <t>http://carrefour.com/current-news/launch-of-the-communications-campaign-to-support-ou</t>
        </is>
      </c>
    </row>
    <row r="70">
      <c r="A70" s="7" t="inlineStr">
        <is>
          <t>Carrefour</t>
        </is>
      </c>
      <c r="B70" s="9" t="inlineStr">
        <is>
          <t>Identité</t>
        </is>
      </c>
      <c r="C70" s="9" t="inlineStr">
        <is>
          <t>https://carrefour.com/fr/groupe</t>
        </is>
      </c>
    </row>
    <row r="71">
      <c r="A71" s="4" t="inlineStr">
        <is>
          <t>Carrefour</t>
        </is>
      </c>
      <c r="B71" s="6" t="inlineStr">
        <is>
          <t>Presse et image</t>
        </is>
      </c>
      <c r="C71" s="6" t="inlineStr">
        <is>
          <t>https://carrefour.com/sites/default/files/2024-11/Carrefour%20Group%20Press%20Release</t>
        </is>
      </c>
    </row>
    <row r="72">
      <c r="A72" s="7" t="inlineStr">
        <is>
          <t>Carrefour</t>
        </is>
      </c>
      <c r="B72" s="9" t="inlineStr">
        <is>
          <t>Presse et image</t>
        </is>
      </c>
      <c r="C72" s="9" t="inlineStr">
        <is>
          <t>https://www.carrefour.com/en/alexandre-bompard</t>
        </is>
      </c>
    </row>
    <row r="73">
      <c r="A73" s="4" t="inlineStr">
        <is>
          <t>Carrefour</t>
        </is>
      </c>
      <c r="B73" s="6" t="inlineStr">
        <is>
          <t>Presse et image</t>
        </is>
      </c>
      <c r="C73" s="6" t="inlineStr">
        <is>
          <t>https://www.leparisien.fr/economie/leonie-du-carrefour-de-laval-viree-et-condamnee-ce</t>
        </is>
      </c>
    </row>
    <row r="74">
      <c r="A74" s="7" t="inlineStr">
        <is>
          <t>Carrefour</t>
        </is>
      </c>
      <c r="B74" s="9" t="inlineStr">
        <is>
          <t>Presse et image</t>
        </is>
      </c>
      <c r="C74" s="9" t="inlineStr">
        <is>
          <t>https://www.carrefour.com/fr/plan-strategique-carrefour-2030</t>
        </is>
      </c>
    </row>
    <row r="75">
      <c r="A75" s="4" t="inlineStr">
        <is>
          <t>Crédit Agricole</t>
        </is>
      </c>
      <c r="B75" s="6" t="inlineStr">
        <is>
          <t>Identité</t>
        </is>
      </c>
      <c r="C75" s="6" t="inlineStr">
        <is>
          <t>https://credit-agricole.com/en/group/projet-du-groupe-pmt-2022/our-raison-d-etre</t>
        </is>
      </c>
    </row>
    <row r="76">
      <c r="A76" s="7" t="inlineStr">
        <is>
          <t>Crédit Agricole</t>
        </is>
      </c>
      <c r="B76" s="9" t="inlineStr">
        <is>
          <t>Identité</t>
        </is>
      </c>
      <c r="C76" s="9" t="inlineStr">
        <is>
          <t>https://groupecreditagricole.jobs/fr/notre-groupe/nous-connaitre</t>
        </is>
      </c>
    </row>
    <row r="77">
      <c r="A77" s="4" t="inlineStr">
        <is>
          <t>Crédit Agricole</t>
        </is>
      </c>
      <c r="B77" s="6" t="inlineStr">
        <is>
          <t>Identité</t>
        </is>
      </c>
      <c r="C77" s="6" t="inlineStr">
        <is>
          <t>https://www.moneyvox.fr/banque/actualites/57758/nouveau-slogan-pour-le-credit-ag</t>
        </is>
      </c>
    </row>
    <row r="78">
      <c r="A78" s="7" t="inlineStr">
        <is>
          <t>Crédit Agricole</t>
        </is>
      </c>
      <c r="B78" s="9" t="inlineStr">
        <is>
          <t>Identité</t>
        </is>
      </c>
      <c r="C78" s="9" t="inlineStr">
        <is>
          <t>https://www.creditagricole.info/le-societariat</t>
        </is>
      </c>
    </row>
    <row r="79">
      <c r="A79" s="4" t="inlineStr">
        <is>
          <t>Crédit Agricole</t>
        </is>
      </c>
      <c r="B79" s="6" t="inlineStr">
        <is>
          <t>Identité</t>
        </is>
      </c>
      <c r="C79" s="6" t="inlineStr">
        <is>
          <t>https://www.credit-agricole.com/notre-groupe/decouvrir-le-groupe-credit-agricole</t>
        </is>
      </c>
    </row>
    <row r="80">
      <c r="A80" s="7" t="inlineStr">
        <is>
          <t>Crédit Agricole</t>
        </is>
      </c>
      <c r="B80" s="9" t="inlineStr">
        <is>
          <t>Presse et image</t>
        </is>
      </c>
      <c r="C80" s="9" t="inlineStr">
        <is>
          <t>https://www.lesechos.fr/finance-marches/banque-assurances/fraude-aux-dividendes-credit-agr</t>
        </is>
      </c>
    </row>
    <row r="81">
      <c r="A81" s="4" t="inlineStr">
        <is>
          <t>Crédit Agricole</t>
        </is>
      </c>
      <c r="B81" s="6" t="inlineStr">
        <is>
          <t>Presse et image</t>
        </is>
      </c>
      <c r="C81" s="6" t="inlineStr">
        <is>
          <t>https://www.banque-france.fr/en/press-release/ecb-imposes-periodic-penalty-payments-credit</t>
        </is>
      </c>
    </row>
    <row r="82">
      <c r="A82" s="7" t="inlineStr">
        <is>
          <t>Crédit Agricole</t>
        </is>
      </c>
      <c r="B82" s="9" t="inlineStr">
        <is>
          <t>Presse et image</t>
        </is>
      </c>
      <c r="C82" s="9" t="inlineStr">
        <is>
          <t>https://www.credit-agricole.com/notre-groupe/gouvernance/comite-executif-au-1er-janvi</t>
        </is>
      </c>
    </row>
    <row r="83">
      <c r="A83" s="4" t="inlineStr">
        <is>
          <t>Danone</t>
        </is>
      </c>
      <c r="B83" s="6" t="inlineStr">
        <is>
          <t>Identité</t>
        </is>
      </c>
      <c r="C83" s="6" t="inlineStr">
        <is>
          <t>https://danone.com/fr/fr.html</t>
        </is>
      </c>
    </row>
    <row r="84">
      <c r="A84" s="7" t="inlineStr">
        <is>
          <t>Danone</t>
        </is>
      </c>
      <c r="B84" s="9" t="inlineStr">
        <is>
          <t>Identité</t>
        </is>
      </c>
      <c r="C84" s="9" t="inlineStr">
        <is>
          <t>https://www.danone.com/content/dam/corp/global/danonecom/about-us-impact/policies-and-comm</t>
        </is>
      </c>
    </row>
    <row r="85">
      <c r="A85" s="4" t="inlineStr">
        <is>
          <t>Danone</t>
        </is>
      </c>
      <c r="B85" s="6" t="inlineStr">
        <is>
          <t>Identité</t>
        </is>
      </c>
      <c r="C85" s="6" t="inlineStr">
        <is>
          <t>https://logolook.net/danone-logo</t>
        </is>
      </c>
    </row>
    <row r="86">
      <c r="A86" s="7" t="inlineStr">
        <is>
          <t>Danone</t>
        </is>
      </c>
      <c r="B86" s="9" t="inlineStr">
        <is>
          <t>Presse et image</t>
        </is>
      </c>
      <c r="C86" s="9" t="inlineStr">
        <is>
          <t>https://danone.com/content/dam/corp/global/danonecom/investors/en-shareholders-letters/202</t>
        </is>
      </c>
    </row>
    <row r="87">
      <c r="A87" s="4" t="inlineStr">
        <is>
          <t>Danone</t>
        </is>
      </c>
      <c r="B87" s="6" t="inlineStr">
        <is>
          <t>Presse et image</t>
        </is>
      </c>
      <c r="C87" s="6" t="inlineStr">
        <is>
          <t>https://just-drinks.com/newsletters/danone-settles-france-plastic-lawsuit-with-ngos</t>
        </is>
      </c>
    </row>
    <row r="88">
      <c r="A88" s="7" t="inlineStr">
        <is>
          <t>Danone</t>
        </is>
      </c>
      <c r="B88" s="9" t="inlineStr">
        <is>
          <t>Presse et image</t>
        </is>
      </c>
      <c r="C88" s="9" t="inlineStr">
        <is>
          <t>https://danone.com/group/about-us/governance/antoine-de-saint-affrique.html</t>
        </is>
      </c>
    </row>
    <row r="89">
      <c r="A89" s="4" t="inlineStr">
        <is>
          <t>Danone</t>
        </is>
      </c>
      <c r="B89" s="6" t="inlineStr">
        <is>
          <t>Presse et image</t>
        </is>
      </c>
      <c r="C89" s="6" t="inlineStr">
        <is>
          <t>https://linkedin.com/company/2238</t>
        </is>
      </c>
    </row>
    <row r="90">
      <c r="A90" s="7" t="inlineStr">
        <is>
          <t>Dassault Systèmes</t>
        </is>
      </c>
      <c r="B90" s="9" t="inlineStr">
        <is>
          <t>Identité</t>
        </is>
      </c>
      <c r="C90" s="9" t="inlineStr">
        <is>
          <t>https://3ds.com/about/company/our-mission</t>
        </is>
      </c>
    </row>
    <row r="91">
      <c r="A91" s="4" t="inlineStr">
        <is>
          <t>Dassault Systèmes</t>
        </is>
      </c>
      <c r="B91" s="6" t="inlineStr">
        <is>
          <t>Identité</t>
        </is>
      </c>
      <c r="C91" s="6" t="inlineStr">
        <is>
          <t>https://www.3ds.com/make/guide/faq/about-marketplace/about-dassault-systemes</t>
        </is>
      </c>
    </row>
    <row r="92">
      <c r="A92" s="7" t="inlineStr">
        <is>
          <t>Dassault Systèmes</t>
        </is>
      </c>
      <c r="B92" s="9" t="inlineStr">
        <is>
          <t>Identité</t>
        </is>
      </c>
      <c r="C92" s="9" t="inlineStr">
        <is>
          <t>https://www.bnains.org/archives/communiques/Dassault_Systemes/20020522_Document_de_referen</t>
        </is>
      </c>
    </row>
    <row r="93">
      <c r="A93" s="4" t="inlineStr">
        <is>
          <t>Dassault Systèmes</t>
        </is>
      </c>
      <c r="B93" s="6" t="inlineStr">
        <is>
          <t>Presse et image</t>
        </is>
      </c>
      <c r="C93" s="6" t="inlineStr">
        <is>
          <t>https://www.allnews.ch/content/march%C3%A9s/dassault-syst%C3%A8mes-d%C3%A9croche-%C3%A0-pa</t>
        </is>
      </c>
    </row>
    <row r="94">
      <c r="A94" s="7" t="inlineStr">
        <is>
          <t>Dassault Systèmes</t>
        </is>
      </c>
      <c r="B94" s="9" t="inlineStr">
        <is>
          <t>Presse et image</t>
        </is>
      </c>
      <c r="C94" s="9" t="inlineStr">
        <is>
          <t>https://www.3ds.com/about/company</t>
        </is>
      </c>
    </row>
    <row r="95">
      <c r="A95" s="4" t="inlineStr">
        <is>
          <t>Eiffage</t>
        </is>
      </c>
      <c r="B95" s="6" t="inlineStr">
        <is>
          <t>Identité</t>
        </is>
      </c>
      <c r="C95" s="6" t="inlineStr">
        <is>
          <t>http://eiffage.com/en/home/clients-et-fournisseurs/charte-des-valeurs-et-finalites.html</t>
        </is>
      </c>
    </row>
    <row r="96">
      <c r="A96" s="7" t="inlineStr">
        <is>
          <t>Eiffage</t>
        </is>
      </c>
      <c r="B96" s="9" t="inlineStr">
        <is>
          <t>Identité</t>
        </is>
      </c>
      <c r="C96" s="9" t="inlineStr">
        <is>
          <t>https://eiffageconstructionbelux.be/en/about-us</t>
        </is>
      </c>
    </row>
    <row r="97">
      <c r="A97" s="4" t="inlineStr">
        <is>
          <t>Eiffage</t>
        </is>
      </c>
      <c r="B97" s="6" t="inlineStr">
        <is>
          <t>Identité</t>
        </is>
      </c>
      <c r="C97" s="6" t="inlineStr">
        <is>
          <t>https://www.eiffage.com/en/home.html?LANG=EN%2F</t>
        </is>
      </c>
    </row>
    <row r="98">
      <c r="A98" s="7" t="inlineStr">
        <is>
          <t>Eiffage</t>
        </is>
      </c>
      <c r="B98" s="9" t="inlineStr">
        <is>
          <t>Presse et image</t>
        </is>
      </c>
      <c r="C98" s="9" t="inlineStr">
        <is>
          <t>https://www.lemonde.fr/societe/article/2025/07/03/a-la-suite-d-un-accident-du-travail</t>
        </is>
      </c>
    </row>
    <row r="99">
      <c r="A99" s="4" t="inlineStr">
        <is>
          <t>Eiffage</t>
        </is>
      </c>
      <c r="B99" s="6" t="inlineStr">
        <is>
          <t>Presse et image</t>
        </is>
      </c>
      <c r="C99" s="6" t="inlineStr">
        <is>
          <t>https://eiffage.com/files/live/sites/eiffagev2/files/Finance/R%C3%A9sultats/2026/Eiff</t>
        </is>
      </c>
    </row>
    <row r="100">
      <c r="A100" s="7" t="inlineStr">
        <is>
          <t>Engie</t>
        </is>
      </c>
      <c r="B100" s="9" t="inlineStr">
        <is>
          <t>Identité</t>
        </is>
      </c>
      <c r="C100" s="9" t="inlineStr">
        <is>
          <t>https://engie.design/fluid-design-system/brand/logos</t>
        </is>
      </c>
    </row>
    <row r="101">
      <c r="A101" s="4" t="inlineStr">
        <is>
          <t>Engie</t>
        </is>
      </c>
      <c r="B101" s="6" t="inlineStr">
        <is>
          <t>Identité</t>
        </is>
      </c>
      <c r="C101" s="6" t="inlineStr">
        <is>
          <t>https://engie.design/fluid-design-system/foundations/colors</t>
        </is>
      </c>
    </row>
    <row r="102">
      <c r="A102" s="7" t="inlineStr">
        <is>
          <t>Engie</t>
        </is>
      </c>
      <c r="B102" s="9" t="inlineStr">
        <is>
          <t>Identité</t>
        </is>
      </c>
      <c r="C102" s="9" t="inlineStr">
        <is>
          <t>https://engie.design/fluid-design-system/foundations/typography</t>
        </is>
      </c>
    </row>
    <row r="103">
      <c r="A103" s="4" t="inlineStr">
        <is>
          <t>Engie</t>
        </is>
      </c>
      <c r="B103" s="6" t="inlineStr">
        <is>
          <t>Identité</t>
        </is>
      </c>
      <c r="C103" s="6" t="inlineStr">
        <is>
          <t>https://engie.com/a-propos-engie/notre-strategie</t>
        </is>
      </c>
    </row>
    <row r="104">
      <c r="A104" s="7" t="inlineStr">
        <is>
          <t>Engie</t>
        </is>
      </c>
      <c r="B104" s="9" t="inlineStr">
        <is>
          <t>Identité</t>
        </is>
      </c>
      <c r="C104" s="9" t="inlineStr">
        <is>
          <t>https://en.newsroom.engie.com/news/gdf-suez-becomes-engie-a2d4-314df.html</t>
        </is>
      </c>
    </row>
    <row r="105">
      <c r="A105" s="4" t="inlineStr">
        <is>
          <t>Engie</t>
        </is>
      </c>
      <c r="B105" s="6" t="inlineStr">
        <is>
          <t>Presse et image</t>
        </is>
      </c>
      <c r="C105" s="6" t="inlineStr">
        <is>
          <t>https://en.newsroom.engie.com/assets/pr-engie-fy-2025-results-vdef-29123-314df.html</t>
        </is>
      </c>
    </row>
    <row r="106">
      <c r="A106" s="7" t="inlineStr">
        <is>
          <t>Engie</t>
        </is>
      </c>
      <c r="B106" s="9" t="inlineStr">
        <is>
          <t>Presse et image</t>
        </is>
      </c>
      <c r="C106" s="9" t="inlineStr">
        <is>
          <t>https://www.engie.com/en/about-engie/governance/board-of-directors/catherine-macgrego</t>
        </is>
      </c>
    </row>
    <row r="107">
      <c r="A107" s="4" t="inlineStr">
        <is>
          <t>EssilorLuxottica</t>
        </is>
      </c>
      <c r="B107" s="6" t="inlineStr">
        <is>
          <t>Identité</t>
        </is>
      </c>
      <c r="C107" s="6" t="inlineStr">
        <is>
          <t>https://www.essilorluxottica.com/cap/content/113150?_iframe=true</t>
        </is>
      </c>
    </row>
    <row r="108">
      <c r="A108" s="7" t="inlineStr">
        <is>
          <t>EssilorLuxottica</t>
        </is>
      </c>
      <c r="B108" s="9" t="inlineStr">
        <is>
          <t>Identité</t>
        </is>
      </c>
      <c r="C108" s="9" t="inlineStr">
        <is>
          <t>https://www.essilorluxottica.com/en/group/mission/</t>
        </is>
      </c>
    </row>
    <row r="109">
      <c r="A109" s="4" t="inlineStr">
        <is>
          <t>EssilorLuxottica</t>
        </is>
      </c>
      <c r="B109" s="6" t="inlineStr">
        <is>
          <t>Presse et image</t>
        </is>
      </c>
      <c r="C109" s="6" t="inlineStr">
        <is>
          <t>https://www.essilorluxottica.com/en/newsroom/media-contacts/</t>
        </is>
      </c>
    </row>
    <row r="110">
      <c r="A110" s="7" t="inlineStr">
        <is>
          <t>EssilorLuxottica</t>
        </is>
      </c>
      <c r="B110" s="9" t="inlineStr">
        <is>
          <t>Presse et image</t>
        </is>
      </c>
      <c r="C110" s="9" t="inlineStr">
        <is>
          <t>https://ml-eu.globenewswire.com/Resource/Download/c5da9c00-4bab-4128-9302-51baad79fb5</t>
        </is>
      </c>
    </row>
    <row r="111">
      <c r="A111" s="4" t="inlineStr">
        <is>
          <t>Eurofins Scientific</t>
        </is>
      </c>
      <c r="B111" s="6" t="inlineStr">
        <is>
          <t>Identité</t>
        </is>
      </c>
      <c r="C111" s="6" t="inlineStr">
        <is>
          <t>https://cdnmedia.eurofins.com/corporate-eurofins/media/zpvne2bm/eurofins-fact-sheet-f</t>
        </is>
      </c>
    </row>
    <row r="112">
      <c r="A112" s="7" t="inlineStr">
        <is>
          <t>Eurofins Scientific</t>
        </is>
      </c>
      <c r="B112" s="9" t="inlineStr">
        <is>
          <t>Identité</t>
        </is>
      </c>
      <c r="C112" s="9" t="inlineStr">
        <is>
          <t>https://www.eurofins.com/assurance/about-us/assurance-news/cpa-rebranding</t>
        </is>
      </c>
    </row>
    <row r="113">
      <c r="A113" s="4" t="inlineStr">
        <is>
          <t>Eurofins Scientific</t>
        </is>
      </c>
      <c r="B113" s="6" t="inlineStr">
        <is>
          <t>Presse et image</t>
        </is>
      </c>
      <c r="C113" s="6" t="inlineStr">
        <is>
          <t>https://www.eurofins.com/en/media-centre/press-releases/eurofins-refutes-baseless-allegati</t>
        </is>
      </c>
    </row>
    <row r="114">
      <c r="A114" s="7" t="inlineStr">
        <is>
          <t>Eurofins Scientific</t>
        </is>
      </c>
      <c r="B114" s="9" t="inlineStr">
        <is>
          <t>Presse et image</t>
        </is>
      </c>
      <c r="C114" s="9" t="inlineStr">
        <is>
          <t>https://eurofins.com/en/leadership/group-operating-council</t>
        </is>
      </c>
    </row>
    <row r="115">
      <c r="A115" s="4" t="inlineStr">
        <is>
          <t>Euronext</t>
        </is>
      </c>
      <c r="B115" s="6" t="inlineStr">
        <is>
          <t>Identité</t>
        </is>
      </c>
      <c r="C115" s="6" t="inlineStr">
        <is>
          <t>https://euronext.com/sites/default/files/financial-event-doc/2024-03/Chapter%203%20-%20Emp</t>
        </is>
      </c>
    </row>
    <row r="116">
      <c r="A116" s="7" t="inlineStr">
        <is>
          <t>Euronext</t>
        </is>
      </c>
      <c r="B116" s="9" t="inlineStr">
        <is>
          <t>Identité</t>
        </is>
      </c>
      <c r="C116" s="9" t="inlineStr">
        <is>
          <t>https://www.euronext.com/en/news/euronext-and-elite-unveil-transformed-visual-identity-for</t>
        </is>
      </c>
    </row>
    <row r="117">
      <c r="A117" s="4" t="inlineStr">
        <is>
          <t>Euronext</t>
        </is>
      </c>
      <c r="B117" s="6" t="inlineStr">
        <is>
          <t>Identité</t>
        </is>
      </c>
      <c r="C117" s="6" t="inlineStr">
        <is>
          <t>https://athens.euronext.com/en/brand-identity</t>
        </is>
      </c>
    </row>
    <row r="118">
      <c r="A118" s="7" t="inlineStr">
        <is>
          <t>Euronext</t>
        </is>
      </c>
      <c r="B118" s="9" t="inlineStr">
        <is>
          <t>Presse et image</t>
        </is>
      </c>
      <c r="C118" s="9" t="inlineStr">
        <is>
          <t>https://www.euronext.com/en/investor-relations/corporate-governance/managing-board</t>
        </is>
      </c>
    </row>
    <row r="119">
      <c r="A119" s="4" t="inlineStr">
        <is>
          <t>Euronext</t>
        </is>
      </c>
      <c r="B119" s="6" t="inlineStr">
        <is>
          <t>Presse et image</t>
        </is>
      </c>
      <c r="C119" s="6" t="inlineStr">
        <is>
          <t>https://www.euronext.com/en/about/media/euronext-press-releases/euronext-publishes-q4</t>
        </is>
      </c>
    </row>
    <row r="120">
      <c r="A120" s="7" t="inlineStr">
        <is>
          <t>Hermès</t>
        </is>
      </c>
      <c r="B120" s="9" t="inlineStr">
        <is>
          <t>Identité</t>
        </is>
      </c>
      <c r="C120" s="9" t="inlineStr">
        <is>
          <t>https://fr.wikipedia.org/wiki/Duc_(hippomobile)</t>
        </is>
      </c>
    </row>
    <row r="121">
      <c r="A121" s="4" t="inlineStr">
        <is>
          <t>Hermès</t>
        </is>
      </c>
      <c r="B121" s="6" t="inlineStr">
        <is>
          <t>Identité</t>
        </is>
      </c>
      <c r="C121" s="6" t="inlineStr">
        <is>
          <t>https://www.icon-icon.com/le-logo-hermes-la-caleche</t>
        </is>
      </c>
    </row>
    <row r="122">
      <c r="A122" s="7" t="inlineStr">
        <is>
          <t>Hermès</t>
        </is>
      </c>
      <c r="B122" s="9" t="inlineStr">
        <is>
          <t>Presse et image</t>
        </is>
      </c>
      <c r="C122" s="9" t="inlineStr">
        <is>
          <t>https://kantar.com/Inspiration/Agile-market-research/Why-Hermes-quiet-luxury-speaks-loudes</t>
        </is>
      </c>
    </row>
    <row r="123">
      <c r="A123" s="4" t="inlineStr">
        <is>
          <t>Hermès</t>
        </is>
      </c>
      <c r="B123" s="6" t="inlineStr">
        <is>
          <t>Presse et image</t>
        </is>
      </c>
      <c r="C123" s="6" t="inlineStr">
        <is>
          <t>https://ww.fashionnetwork.com/news/Louis-vuitton-hermes-chanel-luxury-houses-dominate-rank</t>
        </is>
      </c>
    </row>
    <row r="124">
      <c r="A124" s="7" t="inlineStr">
        <is>
          <t>Hermès</t>
        </is>
      </c>
      <c r="B124" s="9" t="inlineStr">
        <is>
          <t>Presse et image</t>
        </is>
      </c>
      <c r="C124" s="9" t="inlineStr">
        <is>
          <t>https://sauthermes.com/en/press-contacts</t>
        </is>
      </c>
    </row>
    <row r="125">
      <c r="A125" s="4" t="inlineStr">
        <is>
          <t>Hermès</t>
        </is>
      </c>
      <c r="B125" s="6" t="inlineStr">
        <is>
          <t>Presse et image</t>
        </is>
      </c>
      <c r="C125" s="6" t="inlineStr">
        <is>
          <t>https://finance.hermes.com/en/</t>
        </is>
      </c>
    </row>
    <row r="126">
      <c r="A126" s="7" t="inlineStr">
        <is>
          <t>Kering</t>
        </is>
      </c>
      <c r="B126" s="9" t="inlineStr">
        <is>
          <t>Identité</t>
        </is>
      </c>
      <c r="C126" s="9" t="inlineStr">
        <is>
          <t>http://kering.com/en/group/discover-kering</t>
        </is>
      </c>
    </row>
    <row r="127">
      <c r="A127" s="4" t="inlineStr">
        <is>
          <t>Kering</t>
        </is>
      </c>
      <c r="B127" s="6" t="inlineStr">
        <is>
          <t>Identité</t>
        </is>
      </c>
      <c r="C127" s="6" t="inlineStr">
        <is>
          <t>https://www.kering.com/en/group/ten-years-of-empowering-imagination</t>
        </is>
      </c>
    </row>
    <row r="128">
      <c r="A128" s="7" t="inlineStr">
        <is>
          <t>Kering</t>
        </is>
      </c>
      <c r="B128" s="9" t="inlineStr">
        <is>
          <t>Presse et image</t>
        </is>
      </c>
      <c r="C128" s="9" t="inlineStr">
        <is>
          <t>https://www.kering.com/api/download-file?path=KERING_LETTER_TO_SHAREHOLDERS_MAY_26_UK_bede</t>
        </is>
      </c>
    </row>
    <row r="129">
      <c r="A129" s="4" t="inlineStr">
        <is>
          <t>Kering</t>
        </is>
      </c>
      <c r="B129" s="6" t="inlineStr">
        <is>
          <t>Presse et image</t>
        </is>
      </c>
      <c r="C129" s="6" t="inlineStr">
        <is>
          <t>https://mistake.club/w/kering-gucci-dependence-reconkering-2026</t>
        </is>
      </c>
    </row>
    <row r="130">
      <c r="A130" s="7" t="inlineStr">
        <is>
          <t>Kering</t>
        </is>
      </c>
      <c r="B130" s="9" t="inlineStr">
        <is>
          <t>Presse et image</t>
        </is>
      </c>
      <c r="C130" s="9" t="inlineStr">
        <is>
          <t>https://podstatus.com/podcasts/fashion-our-future-85414</t>
        </is>
      </c>
    </row>
    <row r="131">
      <c r="A131" s="4" t="inlineStr">
        <is>
          <t>Kering</t>
        </is>
      </c>
      <c r="B131" s="6" t="inlineStr">
        <is>
          <t>Presse et image</t>
        </is>
      </c>
      <c r="C131" s="6" t="inlineStr">
        <is>
          <t>https://www.kering.com/en/group/kering-for-women/women-in-motion/women-in-motion-podcast/</t>
        </is>
      </c>
    </row>
    <row r="132">
      <c r="A132" s="7" t="inlineStr">
        <is>
          <t>Legrand</t>
        </is>
      </c>
      <c r="B132" s="9" t="inlineStr">
        <is>
          <t>Identité</t>
        </is>
      </c>
      <c r="C132" s="9" t="inlineStr">
        <is>
          <t>https://www.legrand.fr/pro/la-raison-detre-et-les-valeurs-de-legrand</t>
        </is>
      </c>
    </row>
    <row r="133">
      <c r="A133" s="4" t="inlineStr">
        <is>
          <t>Legrand</t>
        </is>
      </c>
      <c r="B133" s="6" t="inlineStr">
        <is>
          <t>Identité</t>
        </is>
      </c>
      <c r="C133" s="6" t="inlineStr">
        <is>
          <t>https://www.legrand.com/fr/le-groupe/accueil</t>
        </is>
      </c>
    </row>
    <row r="134">
      <c r="A134" s="7" t="inlineStr">
        <is>
          <t>Legrand</t>
        </is>
      </c>
      <c r="B134" s="9" t="inlineStr">
        <is>
          <t>Identité</t>
        </is>
      </c>
      <c r="C134" s="9" t="inlineStr">
        <is>
          <t>https://legrandgroup.com/en/group/design-legrand/ours-values</t>
        </is>
      </c>
    </row>
    <row r="135">
      <c r="A135" s="4" t="inlineStr">
        <is>
          <t>Legrand</t>
        </is>
      </c>
      <c r="B135" s="6" t="inlineStr">
        <is>
          <t>Presse et image</t>
        </is>
      </c>
      <c r="C135" s="6" t="inlineStr">
        <is>
          <t>https://www.legrand.com/fr/espace-presse</t>
        </is>
      </c>
    </row>
    <row r="136">
      <c r="A136" s="7" t="inlineStr">
        <is>
          <t>Legrand</t>
        </is>
      </c>
      <c r="B136" s="9" t="inlineStr">
        <is>
          <t>Presse et image</t>
        </is>
      </c>
      <c r="C136" s="9" t="inlineStr">
        <is>
          <t>https://www.legrand.com/sites/default/files/Documents_PDF_Legrand/News/2026/CP_nominations</t>
        </is>
      </c>
    </row>
    <row r="137">
      <c r="A137" s="4" t="inlineStr">
        <is>
          <t>Legrand</t>
        </is>
      </c>
      <c r="B137" s="6" t="inlineStr">
        <is>
          <t>Presse et image</t>
        </is>
      </c>
      <c r="C137" s="6" t="inlineStr">
        <is>
          <t>https://linkedin.com/company/legrand</t>
        </is>
      </c>
    </row>
    <row r="138">
      <c r="A138" s="7" t="inlineStr">
        <is>
          <t>Legrand</t>
        </is>
      </c>
      <c r="B138" s="9" t="inlineStr">
        <is>
          <t>Presse et image</t>
        </is>
      </c>
      <c r="C138" s="9" t="inlineStr">
        <is>
          <t>https://premium.frankreich.news/legrand-annonce-la-fermeture-de-quatre-sites-francais</t>
        </is>
      </c>
    </row>
    <row r="139">
      <c r="A139" s="4" t="inlineStr">
        <is>
          <t>Legrand</t>
        </is>
      </c>
      <c r="B139" s="6" t="inlineStr">
        <is>
          <t>Presse et image</t>
        </is>
      </c>
      <c r="C139" s="6" t="inlineStr">
        <is>
          <t>https://apps.eurofound.europa.eu/restructuring-events/detail/300521</t>
        </is>
      </c>
    </row>
    <row r="140">
      <c r="A140" s="7" t="inlineStr">
        <is>
          <t>L'Oréal</t>
        </is>
      </c>
      <c r="B140" s="9" t="inlineStr">
        <is>
          <t>Identité</t>
        </is>
      </c>
      <c r="C140" s="9" t="inlineStr">
        <is>
          <t>https://loreal-finance.com/eng/2024-universal-registration-document/en/article/7</t>
        </is>
      </c>
    </row>
    <row r="141">
      <c r="A141" s="4" t="inlineStr">
        <is>
          <t>L'Oréal</t>
        </is>
      </c>
      <c r="B141" s="6" t="inlineStr">
        <is>
          <t>Identité</t>
        </is>
      </c>
      <c r="C141" s="6" t="inlineStr">
        <is>
          <t>https://careers.loreal.com/fr</t>
        </is>
      </c>
    </row>
    <row r="142">
      <c r="A142" s="7" t="inlineStr">
        <is>
          <t>L'Oréal</t>
        </is>
      </c>
      <c r="B142" s="9" t="inlineStr">
        <is>
          <t>Identité</t>
        </is>
      </c>
      <c r="C142" s="9" t="inlineStr">
        <is>
          <t>https://www.instagram.com/lorealgroupe</t>
        </is>
      </c>
    </row>
    <row r="143">
      <c r="A143" s="4" t="inlineStr">
        <is>
          <t>L'Oréal</t>
        </is>
      </c>
      <c r="B143" s="6" t="inlineStr">
        <is>
          <t>Identité</t>
        </is>
      </c>
      <c r="C143" s="6" t="inlineStr">
        <is>
          <t>http://x.com/LOrealGroupe?lang=en</t>
        </is>
      </c>
    </row>
    <row r="144">
      <c r="A144" s="7" t="inlineStr">
        <is>
          <t>L'Oréal</t>
        </is>
      </c>
      <c r="B144" s="9" t="inlineStr">
        <is>
          <t>Identité</t>
        </is>
      </c>
      <c r="C144" s="9" t="inlineStr">
        <is>
          <t>https://linkedin.com/company/lor%C3%A9al</t>
        </is>
      </c>
    </row>
    <row r="145">
      <c r="A145" s="4" t="inlineStr">
        <is>
          <t>L'Oréal</t>
        </is>
      </c>
      <c r="B145" s="6" t="inlineStr">
        <is>
          <t>Presse et image</t>
        </is>
      </c>
      <c r="C145" s="6" t="inlineStr">
        <is>
          <t>https://loreal.com/fr/mediaroom</t>
        </is>
      </c>
    </row>
    <row r="146">
      <c r="A146" s="7" t="inlineStr">
        <is>
          <t>L'Oréal</t>
        </is>
      </c>
      <c r="B146" s="9" t="inlineStr">
        <is>
          <t>Presse et image</t>
        </is>
      </c>
      <c r="C146" s="9" t="inlineStr">
        <is>
          <t>https://www.loreal-finance.com/system/files/2026-10/Release%20of%209%20October%202026.pdf</t>
        </is>
      </c>
    </row>
    <row r="147">
      <c r="A147" s="4" t="inlineStr">
        <is>
          <t>L'Oréal</t>
        </is>
      </c>
      <c r="B147" s="6" t="inlineStr">
        <is>
          <t>Presse et image</t>
        </is>
      </c>
      <c r="C147" s="6" t="inlineStr">
        <is>
          <t>https://linkedin.com/company/1662</t>
        </is>
      </c>
    </row>
    <row r="148">
      <c r="A148" s="7" t="inlineStr">
        <is>
          <t>LVMH</t>
        </is>
      </c>
      <c r="B148" s="9" t="inlineStr">
        <is>
          <t>Identité</t>
        </is>
      </c>
      <c r="C148" s="9" t="inlineStr">
        <is>
          <t>https://lvmh.com/en/press</t>
        </is>
      </c>
    </row>
    <row r="149">
      <c r="A149" s="4" t="inlineStr">
        <is>
          <t>LVMH</t>
        </is>
      </c>
      <c r="B149" s="6" t="inlineStr">
        <is>
          <t>Identité</t>
        </is>
      </c>
      <c r="C149" s="6" t="inlineStr">
        <is>
          <t>https://linkedin.com/company/lvmh</t>
        </is>
      </c>
    </row>
    <row r="150">
      <c r="A150" s="7" t="inlineStr">
        <is>
          <t>LVMH</t>
        </is>
      </c>
      <c r="B150" s="9" t="inlineStr">
        <is>
          <t>Presse et image</t>
        </is>
      </c>
      <c r="C150" s="9" t="inlineStr">
        <is>
          <t>https://lvmh.com/en/press/press-contacts</t>
        </is>
      </c>
    </row>
    <row r="151">
      <c r="A151" s="4" t="inlineStr">
        <is>
          <t>LVMH</t>
        </is>
      </c>
      <c r="B151" s="6" t="inlineStr">
        <is>
          <t>Presse et image</t>
        </is>
      </c>
      <c r="C151" s="6" t="inlineStr">
        <is>
          <t>https://ml-eu.globenewswire.com/Resource/Download/790f1abe-4341-46ba-9ee9-2e81abf7c86c</t>
        </is>
      </c>
    </row>
    <row r="152">
      <c r="A152" s="7" t="inlineStr">
        <is>
          <t>LVMH</t>
        </is>
      </c>
      <c r="B152" s="9" t="inlineStr">
        <is>
          <t>Presse et image</t>
        </is>
      </c>
      <c r="C152" s="9" t="inlineStr">
        <is>
          <t>https://www.lefigaro.fr/flash-eco/assigne-en-justice-par-nicolas-puech-lvmh-refute-avoir-detourne-des-actions-hermes-20251203</t>
        </is>
      </c>
    </row>
    <row r="153">
      <c r="A153" s="4" t="inlineStr">
        <is>
          <t>LVMH</t>
        </is>
      </c>
      <c r="B153" s="6" t="inlineStr">
        <is>
          <t>Presse et image</t>
        </is>
      </c>
      <c r="C153" s="6" t="inlineStr">
        <is>
          <t>https://www.tiktok.com/@lvmh</t>
        </is>
      </c>
    </row>
    <row r="154">
      <c r="A154" s="7" t="inlineStr">
        <is>
          <t>LVMH</t>
        </is>
      </c>
      <c r="B154" s="9" t="inlineStr">
        <is>
          <t>Presse et image</t>
        </is>
      </c>
      <c r="C154" s="9" t="inlineStr">
        <is>
          <t>https://hypeauditor.com/instagram/lvmh</t>
        </is>
      </c>
    </row>
    <row r="155">
      <c r="A155" s="4" t="inlineStr">
        <is>
          <t>LVMH</t>
        </is>
      </c>
      <c r="B155" s="6" t="inlineStr">
        <is>
          <t>Presse et image</t>
        </is>
      </c>
      <c r="C155" s="6" t="inlineStr">
        <is>
          <t>https://lvmh.com/lesjourneesparticulieres/podcasts</t>
        </is>
      </c>
    </row>
    <row r="156">
      <c r="A156" s="7" t="inlineStr">
        <is>
          <t>LVMH</t>
        </is>
      </c>
      <c r="B156" s="9" t="inlineStr">
        <is>
          <t>Presse et image</t>
        </is>
      </c>
      <c r="C156" s="9" t="inlineStr">
        <is>
          <t>https://brandfinance.com/press-releases/aerospatiale-finance-energie-les-nouveaux-moteurs-des-marques-francaises-en-2026</t>
        </is>
      </c>
    </row>
    <row r="157">
      <c r="A157" s="4" t="inlineStr">
        <is>
          <t>Michelin</t>
        </is>
      </c>
      <c r="B157" s="6" t="inlineStr">
        <is>
          <t>Identité</t>
        </is>
      </c>
      <c r="C157" s="6" t="inlineStr">
        <is>
          <t>https://www.michelin.com/groupe/raison-etre-valeurs</t>
        </is>
      </c>
    </row>
    <row r="158">
      <c r="A158" s="7" t="inlineStr">
        <is>
          <t>Michelin</t>
        </is>
      </c>
      <c r="B158" s="9" t="inlineStr">
        <is>
          <t>Identité</t>
        </is>
      </c>
      <c r="C158" s="9" t="inlineStr">
        <is>
          <t>https://designsystem.michelin.com/brand/typography</t>
        </is>
      </c>
    </row>
    <row r="159">
      <c r="A159" s="4" t="inlineStr">
        <is>
          <t>Michelin</t>
        </is>
      </c>
      <c r="B159" s="6" t="inlineStr">
        <is>
          <t>Identité</t>
        </is>
      </c>
      <c r="C159" s="6" t="inlineStr">
        <is>
          <t>https://logo.dev/search/brands/michelin.com</t>
        </is>
      </c>
    </row>
    <row r="160">
      <c r="A160" s="7" t="inlineStr">
        <is>
          <t>Michelin</t>
        </is>
      </c>
      <c r="B160" s="9" t="inlineStr">
        <is>
          <t>Presse et image</t>
        </is>
      </c>
      <c r="C160" s="9" t="inlineStr">
        <is>
          <t>https://www.michelin.com/media/espace-presse</t>
        </is>
      </c>
    </row>
    <row r="161">
      <c r="A161" s="4" t="inlineStr">
        <is>
          <t>Michelin</t>
        </is>
      </c>
      <c r="B161" s="6" t="inlineStr">
        <is>
          <t>Presse et image</t>
        </is>
      </c>
      <c r="C161" s="6" t="inlineStr">
        <is>
          <t>https://www.michelin.com/en/media/press-room/media-relations-contacts</t>
        </is>
      </c>
    </row>
    <row r="162">
      <c r="A162" s="7" t="inlineStr">
        <is>
          <t>Michelin</t>
        </is>
      </c>
      <c r="B162" s="9" t="inlineStr">
        <is>
          <t>Presse et image</t>
        </is>
      </c>
      <c r="C162" s="9" t="inlineStr">
        <is>
          <t>https://linkedin.com/company/michelin</t>
        </is>
      </c>
    </row>
    <row r="163">
      <c r="A163" s="4" t="inlineStr">
        <is>
          <t>Michelin</t>
        </is>
      </c>
      <c r="B163" s="6" t="inlineStr">
        <is>
          <t>Presse et image</t>
        </is>
      </c>
      <c r="C163" s="6" t="inlineStr">
        <is>
          <t>https://www.globenewswire.com/news-release/2024/11/05/2974632/0/en/michelin-announces</t>
        </is>
      </c>
    </row>
    <row r="164">
      <c r="A164" s="7" t="inlineStr">
        <is>
          <t>Michelin</t>
        </is>
      </c>
      <c r="B164" s="9" t="inlineStr">
        <is>
          <t>Presse et image</t>
        </is>
      </c>
      <c r="C164" s="9" t="inlineStr">
        <is>
          <t>https://www.aquitaineonline.com/actu-news/france/13036-marques-francaises-2026-brand-finance-airbus-luxe.html</t>
        </is>
      </c>
    </row>
    <row r="165">
      <c r="A165" s="4" t="inlineStr">
        <is>
          <t>Orange</t>
        </is>
      </c>
      <c r="B165" s="6" t="inlineStr">
        <is>
          <t>Identité</t>
        </is>
      </c>
      <c r="C165" s="6" t="inlineStr">
        <is>
          <t>https://www.orange.com/fr/notre-groupe/notre-raison-detre</t>
        </is>
      </c>
    </row>
    <row r="166">
      <c r="A166" s="7" t="inlineStr">
        <is>
          <t>Orange</t>
        </is>
      </c>
      <c r="B166" s="9" t="inlineStr">
        <is>
          <t>Identité</t>
        </is>
      </c>
      <c r="C166" s="9" t="inlineStr">
        <is>
          <t>https://brand.orange.com/en/brand-basics/orange-brand-basics</t>
        </is>
      </c>
    </row>
    <row r="167">
      <c r="A167" s="4" t="inlineStr">
        <is>
          <t>Orange</t>
        </is>
      </c>
      <c r="B167" s="6" t="inlineStr">
        <is>
          <t>Identité</t>
        </is>
      </c>
      <c r="C167" s="6" t="inlineStr">
        <is>
          <t>https://newsroom.orange.com/orange-is-here-becomes-the-new-orange-brand-signature</t>
        </is>
      </c>
    </row>
    <row r="168">
      <c r="A168" s="7" t="inlineStr">
        <is>
          <t>Orange</t>
        </is>
      </c>
      <c r="B168" s="9" t="inlineStr">
        <is>
          <t>Identité</t>
        </is>
      </c>
      <c r="C168" s="9" t="inlineStr">
        <is>
          <t>https://www.designweek.co.uk/issues/16-22-march-2015/wolff-olins-refreshes-orange-visual-i</t>
        </is>
      </c>
    </row>
    <row r="169">
      <c r="A169" s="4" t="inlineStr">
        <is>
          <t>Orange</t>
        </is>
      </c>
      <c r="B169" s="6" t="inlineStr">
        <is>
          <t>Presse et image</t>
        </is>
      </c>
      <c r="C169" s="6" t="inlineStr">
        <is>
          <t>https://orange.com/en/press-contacts</t>
        </is>
      </c>
    </row>
    <row r="170">
      <c r="A170" s="7" t="inlineStr">
        <is>
          <t>Orange</t>
        </is>
      </c>
      <c r="B170" s="9" t="inlineStr">
        <is>
          <t>Presse et image</t>
        </is>
      </c>
      <c r="C170" s="9" t="inlineStr">
        <is>
          <t>https://linkedin.com/company/orange</t>
        </is>
      </c>
    </row>
    <row r="171">
      <c r="A171" s="4" t="inlineStr">
        <is>
          <t>Orange</t>
        </is>
      </c>
      <c r="B171" s="6" t="inlineStr">
        <is>
          <t>Presse et image</t>
        </is>
      </c>
      <c r="C171" s="6" t="inlineStr">
        <is>
          <t>https://hellofuture.orange.com/en/about</t>
        </is>
      </c>
    </row>
    <row r="172">
      <c r="A172" s="7" t="inlineStr">
        <is>
          <t>Orange</t>
        </is>
      </c>
      <c r="B172" s="9" t="inlineStr">
        <is>
          <t>Presse et image</t>
        </is>
      </c>
      <c r="C172" s="9" t="inlineStr">
        <is>
          <t>https://www.orange.com/en/press-release/orange-unveils-trust-the-future-a-new-strategic-chapter</t>
        </is>
      </c>
    </row>
    <row r="173">
      <c r="A173" s="4" t="inlineStr">
        <is>
          <t>Orange</t>
        </is>
      </c>
      <c r="B173" s="6" t="inlineStr">
        <is>
          <t>Presse et image</t>
        </is>
      </c>
      <c r="C173" s="6" t="inlineStr">
        <is>
          <t>https://selectra.info/telecom/actualites/marche/panne-orange-sosh-direct-21-octobre-r</t>
        </is>
      </c>
    </row>
    <row r="174">
      <c r="A174" s="7" t="inlineStr">
        <is>
          <t>Orange</t>
        </is>
      </c>
      <c r="B174" s="9" t="inlineStr">
        <is>
          <t>Presse et image</t>
        </is>
      </c>
      <c r="C174" s="9" t="inlineStr">
        <is>
          <t>https://assets.orange.com/medias/domain12751/media101779/533781-g2fku4idpl.pdf</t>
        </is>
      </c>
    </row>
    <row r="175">
      <c r="A175" s="4" t="inlineStr">
        <is>
          <t>Pernod Ricard</t>
        </is>
      </c>
      <c r="B175" s="6" t="inlineStr">
        <is>
          <t>Identité</t>
        </is>
      </c>
      <c r="C175" s="6" t="inlineStr">
        <is>
          <t>https://pernod-ricard.com/en/our-strategy/vision-ambition-missions</t>
        </is>
      </c>
    </row>
    <row r="176">
      <c r="A176" s="7" t="inlineStr">
        <is>
          <t>Pernod Ricard</t>
        </is>
      </c>
      <c r="B176" s="9" t="inlineStr">
        <is>
          <t>Identité</t>
        </is>
      </c>
      <c r="C176" s="9" t="inlineStr">
        <is>
          <t>https://www.pernod-ricard.com/fr/rse/etre-responsable</t>
        </is>
      </c>
    </row>
    <row r="177">
      <c r="A177" s="4" t="inlineStr">
        <is>
          <t>Pernod Ricard</t>
        </is>
      </c>
      <c r="B177" s="6" t="inlineStr">
        <is>
          <t>Identité</t>
        </is>
      </c>
      <c r="C177" s="6" t="inlineStr">
        <is>
          <t>https://commons.wikimedia.org/wiki/File:Pernod_Ricard_logo_2019.svg</t>
        </is>
      </c>
    </row>
    <row r="178">
      <c r="A178" s="7" t="inlineStr">
        <is>
          <t>Pernod Ricard</t>
        </is>
      </c>
      <c r="B178" s="9" t="inlineStr">
        <is>
          <t>Presse et image</t>
        </is>
      </c>
      <c r="C178" s="9" t="inlineStr">
        <is>
          <t>https://www.pernod-ricard.com/fr/media?type%5B%5D=12</t>
        </is>
      </c>
    </row>
    <row r="179">
      <c r="A179" s="4" t="inlineStr">
        <is>
          <t>Pernod Ricard</t>
        </is>
      </c>
      <c r="B179" s="6" t="inlineStr">
        <is>
          <t>Presse et image</t>
        </is>
      </c>
      <c r="C179" s="6" t="inlineStr">
        <is>
          <t>https://www.pernod-ricard.com/fr/contact</t>
        </is>
      </c>
    </row>
    <row r="180">
      <c r="A180" s="7" t="inlineStr">
        <is>
          <t>Pernod Ricard</t>
        </is>
      </c>
      <c r="B180" s="9" t="inlineStr">
        <is>
          <t>Presse et image</t>
        </is>
      </c>
      <c r="C180" s="9" t="inlineStr">
        <is>
          <t>https://linkedin.com/company/12951</t>
        </is>
      </c>
    </row>
    <row r="181">
      <c r="A181" s="4" t="inlineStr">
        <is>
          <t>Publicis Groupe</t>
        </is>
      </c>
      <c r="B181" s="6" t="inlineStr">
        <is>
          <t>Identité</t>
        </is>
      </c>
      <c r="C181" s="6" t="inlineStr">
        <is>
          <t>http://publicisgroupe.com/en/media-kit</t>
        </is>
      </c>
    </row>
    <row r="182">
      <c r="A182" s="7" t="inlineStr">
        <is>
          <t>Publicis Groupe</t>
        </is>
      </c>
      <c r="B182" s="9" t="inlineStr">
        <is>
          <t>Identité</t>
        </is>
      </c>
      <c r="C182" s="9" t="inlineStr">
        <is>
          <t>https://publicis-groupe.publispeak.com/2023-universal-registration-document/article/1</t>
        </is>
      </c>
    </row>
    <row r="183">
      <c r="A183" s="4" t="inlineStr">
        <is>
          <t>Publicis Groupe</t>
        </is>
      </c>
      <c r="B183" s="6" t="inlineStr">
        <is>
          <t>Presse et image</t>
        </is>
      </c>
      <c r="C183" s="6" t="inlineStr">
        <is>
          <t>https://publicisgroupe.com/sites/default/files/press-releases/2026-07/CP_RFS%202026_EN.pdf</t>
        </is>
      </c>
    </row>
    <row r="184">
      <c r="A184" s="7" t="inlineStr">
        <is>
          <t>Publicis Groupe</t>
        </is>
      </c>
      <c r="B184" s="9" t="inlineStr">
        <is>
          <t>Presse et image</t>
        </is>
      </c>
      <c r="C184" s="9" t="inlineStr">
        <is>
          <t>https://publicisgroupe.com/en/news/press-releases/new-year-new-wishes-new-century</t>
        </is>
      </c>
    </row>
    <row r="185">
      <c r="A185" s="4" t="inlineStr">
        <is>
          <t>Publicis Groupe</t>
        </is>
      </c>
      <c r="B185" s="6" t="inlineStr">
        <is>
          <t>Presse et image</t>
        </is>
      </c>
      <c r="C185" s="6" t="inlineStr">
        <is>
          <t>https://www.publicisgroupe.com/sites/default/files/press-releases/2024-02/</t>
        </is>
      </c>
    </row>
    <row r="186">
      <c r="A186" s="7" t="inlineStr">
        <is>
          <t>Publicis Groupe</t>
        </is>
      </c>
      <c r="B186" s="9" t="inlineStr">
        <is>
          <t>Presse et image</t>
        </is>
      </c>
      <c r="C186" s="9" t="inlineStr">
        <is>
          <t>https://ag.ny.gov/press-release/2024/attorney-general-james-secures-350-million-publicis-its-role-opioid-crisis</t>
        </is>
      </c>
    </row>
    <row r="187">
      <c r="A187" s="4" t="inlineStr">
        <is>
          <t>Publicis Groupe</t>
        </is>
      </c>
      <c r="B187" s="6" t="inlineStr">
        <is>
          <t>Presse et image</t>
        </is>
      </c>
      <c r="C187" s="6" t="inlineStr">
        <is>
          <t>https://linkedin.com/company/publicis-groupe</t>
        </is>
      </c>
    </row>
    <row r="188">
      <c r="A188" s="7" t="inlineStr">
        <is>
          <t>Renault Group</t>
        </is>
      </c>
      <c r="B188" s="9" t="inlineStr">
        <is>
          <t>Identité</t>
        </is>
      </c>
      <c r="C188" s="9" t="inlineStr">
        <is>
          <t>https://www.renaultgroup.com/groupe/notre-raison-detre</t>
        </is>
      </c>
    </row>
    <row r="189">
      <c r="A189" s="4" t="inlineStr">
        <is>
          <t>Renault Group</t>
        </is>
      </c>
      <c r="B189" s="6" t="inlineStr">
        <is>
          <t>Identité</t>
        </is>
      </c>
      <c r="C189" s="6" t="inlineStr">
        <is>
          <t>https://brandhub.groupe.renault.com/brands/renault-group</t>
        </is>
      </c>
    </row>
    <row r="190">
      <c r="A190" s="7" t="inlineStr">
        <is>
          <t>Renault Group</t>
        </is>
      </c>
      <c r="B190" s="9" t="inlineStr">
        <is>
          <t>Identité</t>
        </is>
      </c>
      <c r="C190" s="9" t="inlineStr">
        <is>
          <t>https://www.renaultgroup.com/en/magazine/our-group-news/renault-group-dons-a-new-identity/</t>
        </is>
      </c>
    </row>
    <row r="191">
      <c r="A191" s="4" t="inlineStr">
        <is>
          <t>Renault Group</t>
        </is>
      </c>
      <c r="B191" s="6" t="inlineStr">
        <is>
          <t>Presse et image</t>
        </is>
      </c>
      <c r="C191" s="6" t="inlineStr">
        <is>
          <t>https://media.renaultgroup.com/futuready-from-a-success-story-to-a-success-system</t>
        </is>
      </c>
    </row>
    <row r="192">
      <c r="A192" s="7" t="inlineStr">
        <is>
          <t>Renault Group</t>
        </is>
      </c>
      <c r="B192" s="9" t="inlineStr">
        <is>
          <t>Presse et image</t>
        </is>
      </c>
      <c r="C192" s="9" t="inlineStr">
        <is>
          <t>https://assets.renaultgroup.com/uploads/2026/06/260629_Renault-Group-Leadership-Team-Evolutions_VEN.pdf</t>
        </is>
      </c>
    </row>
    <row r="193">
      <c r="A193" s="4" t="inlineStr">
        <is>
          <t>Renault Group</t>
        </is>
      </c>
      <c r="B193" s="6" t="inlineStr">
        <is>
          <t>Presse et image</t>
        </is>
      </c>
      <c r="C193" s="6" t="inlineStr">
        <is>
          <t>https://linkedin.com/company/renaultgroup</t>
        </is>
      </c>
    </row>
    <row r="194">
      <c r="A194" s="7" t="inlineStr">
        <is>
          <t>Renault Group</t>
        </is>
      </c>
      <c r="B194" s="9" t="inlineStr">
        <is>
          <t>Presse et image</t>
        </is>
      </c>
      <c r="C194" s="9" t="inlineStr">
        <is>
          <t>https://www.auto-infos.fr/article/renault-sous-le-feu-des-investigations-de-la-dgccrf-dans-l-affaire-du-motorgate.287795</t>
        </is>
      </c>
    </row>
    <row r="195">
      <c r="A195" s="4" t="inlineStr">
        <is>
          <t>Safran</t>
        </is>
      </c>
      <c r="B195" s="6" t="inlineStr">
        <is>
          <t>Identité</t>
        </is>
      </c>
      <c r="C195" s="6" t="inlineStr">
        <is>
          <t>https://web.safran-group.com/ri2025/</t>
        </is>
      </c>
    </row>
    <row r="196">
      <c r="A196" s="7" t="inlineStr">
        <is>
          <t>Safran</t>
        </is>
      </c>
      <c r="B196" s="9" t="inlineStr">
        <is>
          <t>Identité</t>
        </is>
      </c>
      <c r="C196" s="9" t="inlineStr">
        <is>
          <t>https://www.safran-group.com/fr/faq/quelles-sont-valeurs-safran</t>
        </is>
      </c>
    </row>
    <row r="197">
      <c r="A197" s="4" t="inlineStr">
        <is>
          <t>Safran</t>
        </is>
      </c>
      <c r="B197" s="6" t="inlineStr">
        <is>
          <t>Identité</t>
        </is>
      </c>
      <c r="C197" s="6" t="inlineStr">
        <is>
          <t>https://safran-group.com/pressroom/safran-groups-companies-under-single-brand-2016-05-19</t>
        </is>
      </c>
    </row>
    <row r="198">
      <c r="A198" s="7" t="inlineStr">
        <is>
          <t>Safran</t>
        </is>
      </c>
      <c r="B198" s="9" t="inlineStr">
        <is>
          <t>Presse et image</t>
        </is>
      </c>
      <c r="C198" s="9" t="inlineStr">
        <is>
          <t>https://www.safran-group.com/fr/contacts-presse</t>
        </is>
      </c>
    </row>
    <row r="199">
      <c r="A199" s="4" t="inlineStr">
        <is>
          <t>Safran</t>
        </is>
      </c>
      <c r="B199" s="6" t="inlineStr">
        <is>
          <t>Presse et image</t>
        </is>
      </c>
      <c r="C199" s="6" t="inlineStr">
        <is>
          <t>https://linkedin.com/company/521777</t>
        </is>
      </c>
    </row>
    <row r="200">
      <c r="A200" s="7" t="inlineStr">
        <is>
          <t>Safran</t>
        </is>
      </c>
      <c r="B200" s="9" t="inlineStr">
        <is>
          <t>Presse et image</t>
        </is>
      </c>
      <c r="C200" s="9" t="inlineStr">
        <is>
          <t>https://www.usinenouvelle.com/editorial/tomates-et-turbines-faut-il-bannir-les-usines</t>
        </is>
      </c>
    </row>
    <row r="201">
      <c r="A201" s="4" t="inlineStr">
        <is>
          <t>Safran</t>
        </is>
      </c>
      <c r="B201" s="6" t="inlineStr">
        <is>
          <t>Presse et image</t>
        </is>
      </c>
      <c r="C201" s="6" t="inlineStr">
        <is>
          <t>https://www.ouest-france.fr/economie/aeronautique/aeronautique-la-future-usine-safran</t>
        </is>
      </c>
    </row>
    <row r="202">
      <c r="A202" s="7" t="inlineStr">
        <is>
          <t>Safran</t>
        </is>
      </c>
      <c r="B202" s="9" t="inlineStr">
        <is>
          <t>Presse et image</t>
        </is>
      </c>
      <c r="C202" s="9" t="inlineStr">
        <is>
          <t>https://www.safran-group.com/download/press_release/file/2265697</t>
        </is>
      </c>
    </row>
    <row r="203">
      <c r="A203" s="4" t="inlineStr">
        <is>
          <t>Saint-Gobain</t>
        </is>
      </c>
      <c r="B203" s="6" t="inlineStr">
        <is>
          <t>Identité</t>
        </is>
      </c>
      <c r="C203" s="6" t="inlineStr">
        <is>
          <t>https://www.saint-gobain.com/fr/le-groupe-saint-gobain/notre-raison-detre</t>
        </is>
      </c>
    </row>
    <row r="204">
      <c r="A204" s="7" t="inlineStr">
        <is>
          <t>Saint-Gobain</t>
        </is>
      </c>
      <c r="B204" s="9" t="inlineStr">
        <is>
          <t>Identité</t>
        </is>
      </c>
      <c r="C204" s="9" t="inlineStr">
        <is>
          <t>https://www.saint-gobain.com/sites/saint-gobain.com/files/dossier_de_presse_fr_lien.pdf</t>
        </is>
      </c>
    </row>
    <row r="205">
      <c r="A205" s="4" t="inlineStr">
        <is>
          <t>Saint-Gobain</t>
        </is>
      </c>
      <c r="B205" s="6" t="inlineStr">
        <is>
          <t>Presse et image</t>
        </is>
      </c>
      <c r="C205" s="6" t="inlineStr">
        <is>
          <t>https://www.saint-gobain.com/fr/presse/contact-presse</t>
        </is>
      </c>
    </row>
    <row r="206">
      <c r="A206" s="7" t="inlineStr">
        <is>
          <t>Saint-Gobain</t>
        </is>
      </c>
      <c r="B206" s="9" t="inlineStr">
        <is>
          <t>Presse et image</t>
        </is>
      </c>
      <c r="C206" s="9" t="inlineStr">
        <is>
          <t>https://linkedin.com/company/saint-gobain</t>
        </is>
      </c>
    </row>
    <row r="207">
      <c r="A207" s="4" t="inlineStr">
        <is>
          <t>Saint-Gobain</t>
        </is>
      </c>
      <c r="B207" s="6" t="inlineStr">
        <is>
          <t>Presse et image</t>
        </is>
      </c>
      <c r="C207" s="6" t="inlineStr">
        <is>
          <t>https://www.ehn.org/saint-gobain-knew-merrimack-plant-released-toxic-pfas-but-shifted</t>
        </is>
      </c>
    </row>
    <row r="208">
      <c r="A208" s="7" t="inlineStr">
        <is>
          <t>Saint-Gobain</t>
        </is>
      </c>
      <c r="B208" s="9" t="inlineStr">
        <is>
          <t>Presse et image</t>
        </is>
      </c>
      <c r="C208" s="9" t="inlineStr">
        <is>
          <t>https://www.saint-gobain.com/fr/le-groupe</t>
        </is>
      </c>
    </row>
    <row r="209">
      <c r="A209" s="4" t="inlineStr">
        <is>
          <t>Sanofi</t>
        </is>
      </c>
      <c r="B209" s="6" t="inlineStr">
        <is>
          <t>Identité</t>
        </is>
      </c>
      <c r="C209" s="6" t="inlineStr">
        <is>
          <t>https://sanofi.com/en/media-room/press-releases/2022/2022-02-03-16-00-00-2378702</t>
        </is>
      </c>
    </row>
    <row r="210">
      <c r="A210" s="7" t="inlineStr">
        <is>
          <t>Sanofi</t>
        </is>
      </c>
      <c r="B210" s="9" t="inlineStr">
        <is>
          <t>Identité</t>
        </is>
      </c>
      <c r="C210" s="9" t="inlineStr">
        <is>
          <t>https://www.sanofi.com/fr/a-la-poursuite-des-miracles</t>
        </is>
      </c>
    </row>
    <row r="211">
      <c r="A211" s="4" t="inlineStr">
        <is>
          <t>Sanofi</t>
        </is>
      </c>
      <c r="B211" s="6" t="inlineStr">
        <is>
          <t>Identité</t>
        </is>
      </c>
      <c r="C211" s="6" t="inlineStr">
        <is>
          <t>https://transformmagazine.net/articles/2022/futurebrand-paris-designs-new-corporate-b</t>
        </is>
      </c>
    </row>
    <row r="212">
      <c r="A212" s="7" t="inlineStr">
        <is>
          <t>Sanofi</t>
        </is>
      </c>
      <c r="B212" s="9" t="inlineStr">
        <is>
          <t>Presse et image</t>
        </is>
      </c>
      <c r="C212" s="9" t="inlineStr">
        <is>
          <t>https://sanofi.com/en/media-room/contact</t>
        </is>
      </c>
    </row>
    <row r="213">
      <c r="A213" s="4" t="inlineStr">
        <is>
          <t>Sanofi</t>
        </is>
      </c>
      <c r="B213" s="6" t="inlineStr">
        <is>
          <t>Presse et image</t>
        </is>
      </c>
      <c r="C213" s="6" t="inlineStr">
        <is>
          <t>https://sanofi.com/en/media-room/press-releases/2026/2026-02-12-06-30-00-3236866</t>
        </is>
      </c>
    </row>
    <row r="214">
      <c r="A214" s="7" t="inlineStr">
        <is>
          <t>Sanofi</t>
        </is>
      </c>
      <c r="B214" s="9" t="inlineStr">
        <is>
          <t>Presse et image</t>
        </is>
      </c>
      <c r="C214" s="9" t="inlineStr">
        <is>
          <t>https://sanofi.com/en/our-company/governance/executive-committee/belen-garijo</t>
        </is>
      </c>
    </row>
    <row r="215">
      <c r="A215" s="4" t="inlineStr">
        <is>
          <t>Sanofi</t>
        </is>
      </c>
      <c r="B215" s="6" t="inlineStr">
        <is>
          <t>Presse et image</t>
        </is>
      </c>
      <c r="C215" s="6" t="inlineStr">
        <is>
          <t>https://linkedin.com/company/sanofi</t>
        </is>
      </c>
    </row>
    <row r="216">
      <c r="A216" s="7" t="inlineStr">
        <is>
          <t>Schneider Electric</t>
        </is>
      </c>
      <c r="B216" s="9" t="inlineStr">
        <is>
          <t>Identité</t>
        </is>
      </c>
      <c r="C216" s="9" t="inlineStr">
        <is>
          <t>https://www.se.com/ww/fr/assets/342/document/492190/Schneider-Electric-fait-l-acquisition-de-Motivair-Corporation.pdf</t>
        </is>
      </c>
    </row>
    <row r="217">
      <c r="A217" s="4" t="inlineStr">
        <is>
          <t>Schneider Electric</t>
        </is>
      </c>
      <c r="B217" s="6" t="inlineStr">
        <is>
          <t>Identité</t>
        </is>
      </c>
      <c r="C217" s="6" t="inlineStr">
        <is>
          <t>https://www.se.com/ww/en/assets/564/document/463535/Integrated-report-2023.pdf</t>
        </is>
      </c>
    </row>
    <row r="218">
      <c r="A218" s="7" t="inlineStr">
        <is>
          <t>Schneider Electric</t>
        </is>
      </c>
      <c r="B218" s="9" t="inlineStr">
        <is>
          <t>Presse et image</t>
        </is>
      </c>
      <c r="C218" s="9" t="inlineStr">
        <is>
          <t>https://www-pre.se.com/ww/en/about-us/newsroom/experts</t>
        </is>
      </c>
    </row>
    <row r="219">
      <c r="A219" s="4" t="inlineStr">
        <is>
          <t>Schneider Electric</t>
        </is>
      </c>
      <c r="B219" s="6" t="inlineStr">
        <is>
          <t>Presse et image</t>
        </is>
      </c>
      <c r="C219" s="6" t="inlineStr">
        <is>
          <t>https://se.com/ww/en/assets/pdf/release-report-agm-2026</t>
        </is>
      </c>
    </row>
    <row r="220">
      <c r="A220" s="7" t="inlineStr">
        <is>
          <t>Schneider Electric</t>
        </is>
      </c>
      <c r="B220" s="9" t="inlineStr">
        <is>
          <t>Presse et image</t>
        </is>
      </c>
      <c r="C220" s="9" t="inlineStr">
        <is>
          <t>https://linkedin.com/company/2329</t>
        </is>
      </c>
    </row>
    <row r="221">
      <c r="A221" s="4" t="inlineStr">
        <is>
          <t>Schneider Electric</t>
        </is>
      </c>
      <c r="B221" s="6" t="inlineStr">
        <is>
          <t>Presse et image</t>
        </is>
      </c>
      <c r="C221" s="6" t="inlineStr">
        <is>
          <t>https://blog.se.com/digital-transformation/artificial-intelligence/2024/05/27/podcast</t>
        </is>
      </c>
    </row>
    <row r="222">
      <c r="A222" s="7" t="inlineStr">
        <is>
          <t>Société Générale</t>
        </is>
      </c>
      <c r="B222" s="9" t="inlineStr">
        <is>
          <t>Identité</t>
        </is>
      </c>
      <c r="C222" s="9" t="inlineStr">
        <is>
          <t>http://www.societegenerale.com/fr</t>
        </is>
      </c>
    </row>
    <row r="223">
      <c r="A223" s="4" t="inlineStr">
        <is>
          <t>Société Générale</t>
        </is>
      </c>
      <c r="B223" s="6" t="inlineStr">
        <is>
          <t>Identité</t>
        </is>
      </c>
      <c r="C223" s="6" t="inlineStr">
        <is>
          <t>https://www.societegenerale.com/fr/actualites/communiques-de-presse/nouvellecampagnecestvouslav</t>
        </is>
      </c>
    </row>
    <row r="224">
      <c r="A224" s="7" t="inlineStr">
        <is>
          <t>Société Générale</t>
        </is>
      </c>
      <c r="B224" s="9" t="inlineStr">
        <is>
          <t>Identité</t>
        </is>
      </c>
      <c r="C224" s="9" t="inlineStr">
        <is>
          <t>https://societegenerale.com/en/societe-generale-logo</t>
        </is>
      </c>
    </row>
    <row r="225">
      <c r="A225" s="4" t="inlineStr">
        <is>
          <t>Société Générale</t>
        </is>
      </c>
      <c r="B225" s="6" t="inlineStr">
        <is>
          <t>Identité</t>
        </is>
      </c>
      <c r="C225" s="6" t="inlineStr">
        <is>
          <t>https://strategies.fr/actualites/marques/LQ564938C/societe-generale-fusionne-et-change-de-nom.h</t>
        </is>
      </c>
    </row>
    <row r="226">
      <c r="A226" s="7" t="inlineStr">
        <is>
          <t>Société Générale</t>
        </is>
      </c>
      <c r="B226" s="9" t="inlineStr">
        <is>
          <t>Presse et image</t>
        </is>
      </c>
      <c r="C226" s="9" t="inlineStr">
        <is>
          <t>https://lesechos-comfi.lesechos.fr/press-release/societe-generale-shares-and-voting-rights-as-of-31-july-2026-</t>
        </is>
      </c>
    </row>
    <row r="227">
      <c r="A227" s="4" t="inlineStr">
        <is>
          <t>Société Générale</t>
        </is>
      </c>
      <c r="B227" s="6" t="inlineStr">
        <is>
          <t>Presse et image</t>
        </is>
      </c>
      <c r="C227" s="6" t="inlineStr">
        <is>
          <t>https://linkedin.com/company/societe-generale</t>
        </is>
      </c>
    </row>
    <row r="228">
      <c r="A228" s="7" t="inlineStr">
        <is>
          <t>Société Générale</t>
        </is>
      </c>
      <c r="B228" s="9" t="inlineStr">
        <is>
          <t>Presse et image</t>
        </is>
      </c>
      <c r="C228" s="9" t="inlineStr">
        <is>
          <t>https://lefigaro.fr/flash-eco/la-societe-generale-prevoit-de-supprimer-1-800-postes-e</t>
        </is>
      </c>
    </row>
    <row r="229">
      <c r="A229" s="4" t="inlineStr">
        <is>
          <t>Société Générale</t>
        </is>
      </c>
      <c r="B229" s="6" t="inlineStr">
        <is>
          <t>Presse et image</t>
        </is>
      </c>
      <c r="C229" s="6" t="inlineStr">
        <is>
          <t>https://www.societegenerale.com/fr/groupe/gouvernance/direction-generale</t>
        </is>
      </c>
    </row>
    <row r="230">
      <c r="A230" s="7" t="inlineStr">
        <is>
          <t>Stellantis</t>
        </is>
      </c>
      <c r="B230" s="9" t="inlineStr">
        <is>
          <t>Identité</t>
        </is>
      </c>
      <c r="C230" s="9" t="inlineStr">
        <is>
          <t>https://stellantis.com/en/news/press-releases/2022/january/stellantis-celebrates-first-annivers</t>
        </is>
      </c>
    </row>
    <row r="231">
      <c r="A231" s="4" t="inlineStr">
        <is>
          <t>Stellantis</t>
        </is>
      </c>
      <c r="B231" s="6" t="inlineStr">
        <is>
          <t>Identité</t>
        </is>
      </c>
      <c r="C231" s="6" t="inlineStr">
        <is>
          <t>https://www.stellantis.com/en/news/press-releases/2020/november/a-logo-to-express-the</t>
        </is>
      </c>
    </row>
    <row r="232">
      <c r="A232" s="7" t="inlineStr">
        <is>
          <t>Stellantis</t>
        </is>
      </c>
      <c r="B232" s="9" t="inlineStr">
        <is>
          <t>Presse et image</t>
        </is>
      </c>
      <c r="C232" s="9" t="inlineStr">
        <is>
          <t>https://www.stellantis.com/en/news/media-contacts</t>
        </is>
      </c>
    </row>
    <row r="233">
      <c r="A233" s="4" t="inlineStr">
        <is>
          <t>Stellantis</t>
        </is>
      </c>
      <c r="B233" s="6" t="inlineStr">
        <is>
          <t>Presse et image</t>
        </is>
      </c>
      <c r="C233" s="6" t="inlineStr">
        <is>
          <t>https://linkedin.com/company/stellantis</t>
        </is>
      </c>
    </row>
    <row r="234">
      <c r="A234" s="7" t="inlineStr">
        <is>
          <t>Stellantis</t>
        </is>
      </c>
      <c r="B234" s="9" t="inlineStr">
        <is>
          <t>Presse et image</t>
        </is>
      </c>
      <c r="C234" s="9" t="inlineStr">
        <is>
          <t>https://news.yahoo.com/sport/puretech-patron-stellantis-pr%C3%A9sente-excuses-160237805.html</t>
        </is>
      </c>
    </row>
    <row r="235">
      <c r="A235" s="4" t="inlineStr">
        <is>
          <t>Stellantis</t>
        </is>
      </c>
      <c r="B235" s="6" t="inlineStr">
        <is>
          <t>Presse et image</t>
        </is>
      </c>
      <c r="C235" s="6" t="inlineStr">
        <is>
          <t>https://tf1info.fr/economie/annee-noire-pour-stellantis-peugeot-citroen-qui-affiche-la-plus-lourde-perte-pour-</t>
        </is>
      </c>
    </row>
    <row r="236">
      <c r="A236" s="7" t="inlineStr">
        <is>
          <t>STMicroelectronics</t>
        </is>
      </c>
      <c r="B236" s="9" t="inlineStr">
        <is>
          <t>Identité</t>
        </is>
      </c>
      <c r="C236" s="9" t="inlineStr">
        <is>
          <t>https://www.st.com/content/st_com/en/about/who-we-are.html</t>
        </is>
      </c>
    </row>
    <row r="237">
      <c r="A237" s="4" t="inlineStr">
        <is>
          <t>STMicroelectronics</t>
        </is>
      </c>
      <c r="B237" s="6" t="inlineStr">
        <is>
          <t>Identité</t>
        </is>
      </c>
      <c r="C237" s="6" t="inlineStr">
        <is>
          <t>https://en.wikipedia.org/wiki/File:STMicroelectronics_2020_logo.svg</t>
        </is>
      </c>
    </row>
    <row r="238">
      <c r="A238" s="7" t="inlineStr">
        <is>
          <t>STMicroelectronics</t>
        </is>
      </c>
      <c r="B238" s="9" t="inlineStr">
        <is>
          <t>Presse et image</t>
        </is>
      </c>
      <c r="C238" s="9" t="inlineStr">
        <is>
          <t>https://www.st.com/content/st_com/en/newsroom/media-contacts.html</t>
        </is>
      </c>
    </row>
    <row r="239">
      <c r="A239" s="4" t="inlineStr">
        <is>
          <t>STMicroelectronics</t>
        </is>
      </c>
      <c r="B239" s="6" t="inlineStr">
        <is>
          <t>Presse et image</t>
        </is>
      </c>
      <c r="C239" s="6" t="inlineStr">
        <is>
          <t>https://linkedin.com/company/stmicroelectronics?originalSubdomain=ch</t>
        </is>
      </c>
    </row>
    <row r="240">
      <c r="A240" s="7" t="inlineStr">
        <is>
          <t>STMicroelectronics</t>
        </is>
      </c>
      <c r="B240" s="9" t="inlineStr">
        <is>
          <t>Presse et image</t>
        </is>
      </c>
      <c r="C240" s="9" t="inlineStr">
        <is>
          <t>https://newsroom.st.com/media-center/press-item.html/c3329.html</t>
        </is>
      </c>
    </row>
    <row r="241">
      <c r="A241" s="4" t="inlineStr">
        <is>
          <t>STMicroelectronics</t>
        </is>
      </c>
      <c r="B241" s="6" t="inlineStr">
        <is>
          <t>Presse et image</t>
        </is>
      </c>
      <c r="C241" s="6" t="inlineStr">
        <is>
          <t>https://newsroom.st.com/media-center/press-item.html/c3330.html</t>
        </is>
      </c>
    </row>
    <row r="242">
      <c r="A242" s="7" t="inlineStr">
        <is>
          <t>Thales</t>
        </is>
      </c>
      <c r="B242" s="9" t="inlineStr">
        <is>
          <t>Identité</t>
        </is>
      </c>
      <c r="C242" s="9" t="inlineStr">
        <is>
          <t>https://www.thalesgroup.com/en/about-thales</t>
        </is>
      </c>
    </row>
    <row r="243">
      <c r="A243" s="4" t="inlineStr">
        <is>
          <t>Thales</t>
        </is>
      </c>
      <c r="B243" s="6" t="inlineStr">
        <is>
          <t>Identité</t>
        </is>
      </c>
      <c r="C243" s="6" t="inlineStr">
        <is>
          <t>https://thalesgroup.com/fr</t>
        </is>
      </c>
    </row>
    <row r="244">
      <c r="A244" s="7" t="inlineStr">
        <is>
          <t>Thales</t>
        </is>
      </c>
      <c r="B244" s="9" t="inlineStr">
        <is>
          <t>Presse et image</t>
        </is>
      </c>
      <c r="C244" s="9" t="inlineStr">
        <is>
          <t>https://www.thalesgroup.com/en/media-relations-and-social-media/social-media</t>
        </is>
      </c>
    </row>
    <row r="245">
      <c r="A245" s="4" t="inlineStr">
        <is>
          <t>Thales</t>
        </is>
      </c>
      <c r="B245" s="6" t="inlineStr">
        <is>
          <t>Presse et image</t>
        </is>
      </c>
      <c r="C245" s="6" t="inlineStr">
        <is>
          <t>https://linkedin.com/company/thales</t>
        </is>
      </c>
    </row>
    <row r="246">
      <c r="A246" s="7" t="inlineStr">
        <is>
          <t>Thales</t>
        </is>
      </c>
      <c r="B246" s="9" t="inlineStr">
        <is>
          <t>Presse et image</t>
        </is>
      </c>
      <c r="C246" s="9" t="inlineStr">
        <is>
          <t>https://rfi.fr/en/international-news/20251106-probe-into-thales-defence-group-looking</t>
        </is>
      </c>
    </row>
    <row r="247">
      <c r="A247" s="4" t="inlineStr">
        <is>
          <t>TotalEnergies</t>
        </is>
      </c>
      <c r="B247" s="6" t="inlineStr">
        <is>
          <t>Identité</t>
        </is>
      </c>
      <c r="C247" s="6" t="inlineStr">
        <is>
          <t>https://totalenergies.com/system/files/documents/2024-03/totalenergies_sustainability-climate-2</t>
        </is>
      </c>
    </row>
    <row r="248">
      <c r="A248" s="7" t="inlineStr">
        <is>
          <t>TotalEnergies</t>
        </is>
      </c>
      <c r="B248" s="9" t="inlineStr">
        <is>
          <t>Identité</t>
        </is>
      </c>
      <c r="C248" s="9" t="inlineStr">
        <is>
          <t>https://total.com/media/news/press-releases/total-transforming-and-becoming-totalenergies</t>
        </is>
      </c>
    </row>
    <row r="249">
      <c r="A249" s="4" t="inlineStr">
        <is>
          <t>TotalEnergies</t>
        </is>
      </c>
      <c r="B249" s="6" t="inlineStr">
        <is>
          <t>Identité</t>
        </is>
      </c>
      <c r="C249" s="6" t="inlineStr">
        <is>
          <t>https://www.cbnews.fr/conseil/nouveau-logo-totalenergies-carre-noir</t>
        </is>
      </c>
    </row>
    <row r="250">
      <c r="A250" s="7" t="inlineStr">
        <is>
          <t>TotalEnergies</t>
        </is>
      </c>
      <c r="B250" s="9" t="inlineStr">
        <is>
          <t>Presse et image</t>
        </is>
      </c>
      <c r="C250" s="9" t="inlineStr">
        <is>
          <t>https://totalenergies.com/newsroom/mise-au-point-totalenergies?lang=fra</t>
        </is>
      </c>
    </row>
    <row r="251">
      <c r="A251" s="4" t="inlineStr">
        <is>
          <t>TotalEnergies</t>
        </is>
      </c>
      <c r="B251" s="6" t="inlineStr">
        <is>
          <t>Presse et image</t>
        </is>
      </c>
      <c r="C251" s="6" t="inlineStr">
        <is>
          <t>https://greenpeace.fr/espace-presse/total-condamnee-pour-greenwashing-un-precedent-juridique-majeur-</t>
        </is>
      </c>
    </row>
    <row r="252">
      <c r="A252" s="7" t="inlineStr">
        <is>
          <t>TotalEnergies</t>
        </is>
      </c>
      <c r="B252" s="9" t="inlineStr">
        <is>
          <t>Presse et image</t>
        </is>
      </c>
      <c r="C252" s="9" t="inlineStr">
        <is>
          <t>https://linkedin.com/company/totalenergies</t>
        </is>
      </c>
    </row>
    <row r="253">
      <c r="A253" s="4" t="inlineStr">
        <is>
          <t>TotalEnergies</t>
        </is>
      </c>
      <c r="B253" s="6" t="inlineStr">
        <is>
          <t>Presse et image</t>
        </is>
      </c>
      <c r="C253" s="6" t="inlineStr">
        <is>
          <t>https://www.instagram.com/totalenergies?hl=en</t>
        </is>
      </c>
    </row>
    <row r="254">
      <c r="A254" s="7" t="inlineStr">
        <is>
          <t>Unibail-Rodamco-Westfield</t>
        </is>
      </c>
      <c r="B254" s="9" t="inlineStr">
        <is>
          <t>Identité</t>
        </is>
      </c>
      <c r="C254" s="9" t="inlineStr">
        <is>
          <t>https://urw.com/en/GROUP/Who-We-Are</t>
        </is>
      </c>
    </row>
    <row r="255">
      <c r="A255" s="4" t="inlineStr">
        <is>
          <t>Unibail-Rodamco-Westfield</t>
        </is>
      </c>
      <c r="B255" s="6" t="inlineStr">
        <is>
          <t>Identité</t>
        </is>
      </c>
      <c r="C255" s="6" t="inlineStr">
        <is>
          <t>https://en.wikipedia.org/wiki/Unibail-Rodamco-Westfield</t>
        </is>
      </c>
    </row>
    <row r="256">
      <c r="A256" s="7" t="inlineStr">
        <is>
          <t>Unibail-Rodamco-Westfield</t>
        </is>
      </c>
      <c r="B256" s="9" t="inlineStr">
        <is>
          <t>Presse et image</t>
        </is>
      </c>
      <c r="C256" s="9" t="inlineStr">
        <is>
          <t>https://www.urw.com/news/allnews/urw-sets-ceo-succession-in-2026</t>
        </is>
      </c>
    </row>
    <row r="257">
      <c r="A257" s="4" t="inlineStr">
        <is>
          <t>Unibail-Rodamco-Westfield</t>
        </is>
      </c>
      <c r="B257" s="6" t="inlineStr">
        <is>
          <t>Presse et image</t>
        </is>
      </c>
      <c r="C257" s="6" t="inlineStr">
        <is>
          <t>https://fr.linkedin.com/company/unibail-rodamco-westfield</t>
        </is>
      </c>
    </row>
    <row r="258">
      <c r="A258" s="7" t="inlineStr">
        <is>
          <t>Veolia</t>
        </is>
      </c>
      <c r="B258" s="9" t="inlineStr">
        <is>
          <t>Identité</t>
        </is>
      </c>
      <c r="C258" s="9" t="inlineStr">
        <is>
          <t>https://www.veolia.com/fr/notre-raison-detre/notre-raison-detre</t>
        </is>
      </c>
    </row>
    <row r="259">
      <c r="A259" s="4" t="inlineStr">
        <is>
          <t>Veolia</t>
        </is>
      </c>
      <c r="B259" s="6" t="inlineStr">
        <is>
          <t>Identité</t>
        </is>
      </c>
      <c r="C259" s="6" t="inlineStr">
        <is>
          <t>https://www.veolia.com/sites/g/files/dvc4206/files/document/2026/05/Veolia_Finance_statuts</t>
        </is>
      </c>
    </row>
    <row r="260">
      <c r="A260" s="7" t="inlineStr">
        <is>
          <t>Veolia</t>
        </is>
      </c>
      <c r="B260" s="9" t="inlineStr">
        <is>
          <t>Identité</t>
        </is>
      </c>
      <c r="C260" s="9" t="inlineStr">
        <is>
          <t>https://veolia.com/en/veolia-group/media/press-releases/veolia-s-campaign-promote-res</t>
        </is>
      </c>
    </row>
    <row r="261">
      <c r="A261" s="4" t="inlineStr">
        <is>
          <t>Veolia</t>
        </is>
      </c>
      <c r="B261" s="6" t="inlineStr">
        <is>
          <t>Presse et image</t>
        </is>
      </c>
      <c r="C261" s="6" t="inlineStr">
        <is>
          <t>https://veolia.com/fr/nos-medias/newsroom/communiques-presse/veolia-saur-accord-cession-activites-se</t>
        </is>
      </c>
    </row>
    <row r="262">
      <c r="A262" s="7" t="inlineStr">
        <is>
          <t>Veolia</t>
        </is>
      </c>
      <c r="B262" s="9" t="inlineStr">
        <is>
          <t>Presse et image</t>
        </is>
      </c>
      <c r="C262" s="9" t="inlineStr">
        <is>
          <t>https://linkedin.com/company/veolia-environnement</t>
        </is>
      </c>
    </row>
    <row r="263">
      <c r="A263" s="4" t="inlineStr">
        <is>
          <t>Veolia</t>
        </is>
      </c>
      <c r="B263" s="6" t="inlineStr">
        <is>
          <t>Presse et image</t>
        </is>
      </c>
      <c r="C263" s="6" t="inlineStr">
        <is>
          <t>https://theguardian.com/global-development/2025/mar/27/dying-fish-polluted-water-and-</t>
        </is>
      </c>
    </row>
    <row r="264">
      <c r="A264" s="7" t="inlineStr">
        <is>
          <t>Veolia</t>
        </is>
      </c>
      <c r="B264" s="9" t="inlineStr">
        <is>
          <t>Presse et image</t>
        </is>
      </c>
      <c r="C264" s="9" t="inlineStr">
        <is>
          <t>https://veolia.com/sites/g/files/dvc4206/files/document/2025/05/Reponse_2025_IPAC_VEN</t>
        </is>
      </c>
    </row>
    <row r="265">
      <c r="A265" s="4" t="inlineStr">
        <is>
          <t>Vinci</t>
        </is>
      </c>
      <c r="B265" s="6" t="inlineStr">
        <is>
          <t>Identité</t>
        </is>
      </c>
      <c r="C265" s="6" t="inlineStr">
        <is>
          <t>http://vinci.com/en/newsroom/media-library</t>
        </is>
      </c>
    </row>
    <row r="266">
      <c r="A266" s="7" t="inlineStr">
        <is>
          <t>Vinci</t>
        </is>
      </c>
      <c r="B266" s="9" t="inlineStr">
        <is>
          <t>Identité</t>
        </is>
      </c>
      <c r="C266" s="9" t="inlineStr">
        <is>
          <t>https://essentials.vinci.com/</t>
        </is>
      </c>
    </row>
    <row r="267">
      <c r="A267" s="4" t="inlineStr">
        <is>
          <t>Vinci</t>
        </is>
      </c>
      <c r="B267" s="6" t="inlineStr">
        <is>
          <t>Identité</t>
        </is>
      </c>
      <c r="C267" s="6" t="inlineStr">
        <is>
          <t>https://logo-index.com/construction/vinci</t>
        </is>
      </c>
    </row>
    <row r="268">
      <c r="A268" s="7" t="inlineStr">
        <is>
          <t>Vinci</t>
        </is>
      </c>
      <c r="B268" s="9" t="inlineStr">
        <is>
          <t>Presse et image</t>
        </is>
      </c>
      <c r="C268" s="9" t="inlineStr">
        <is>
          <t>https://echanges.dila.gouv.fr/OPENDATA/AMF/MKW/2026/03/FCMKW119555_20260311.pdf</t>
        </is>
      </c>
    </row>
    <row r="269">
      <c r="A269" s="4" t="inlineStr">
        <is>
          <t>Vinci</t>
        </is>
      </c>
      <c r="B269" s="6" t="inlineStr">
        <is>
          <t>Presse et image</t>
        </is>
      </c>
      <c r="C269" s="6" t="inlineStr">
        <is>
          <t>https://vinci.com/en/group/governance/management-team</t>
        </is>
      </c>
    </row>
    <row r="270">
      <c r="A270" s="7" t="inlineStr">
        <is>
          <t>Vinci</t>
        </is>
      </c>
      <c r="B270" s="9" t="inlineStr">
        <is>
          <t>Presse et image</t>
        </is>
      </c>
      <c r="C270" s="9" t="inlineStr">
        <is>
          <t>https://linkedin.com/company/vinci</t>
        </is>
      </c>
    </row>
    <row r="271">
      <c r="A271" s="4" t="inlineStr">
        <is>
          <t>Vinci</t>
        </is>
      </c>
      <c r="B271" s="6" t="inlineStr">
        <is>
          <t>Presse et image</t>
        </is>
      </c>
      <c r="C271" s="6" t="inlineStr">
        <is>
          <t>https://senat.fr/rap/r24-065/r24-065_mono.html</t>
        </is>
      </c>
    </row>
    <row r="272">
      <c r="A272" s="7" t="inlineStr">
        <is>
          <t>Orange Côte d'Ivoire</t>
        </is>
      </c>
      <c r="B272" s="9" t="inlineStr">
        <is>
          <t>Identité</t>
        </is>
      </c>
      <c r="C272" s="9" t="inlineStr">
        <is>
          <t>https://www.orange.ci/fr/</t>
        </is>
      </c>
    </row>
    <row r="273">
      <c r="A273" s="4" t="inlineStr">
        <is>
          <t>Orange Côte d'Ivoire</t>
        </is>
      </c>
      <c r="B273" s="6" t="inlineStr">
        <is>
          <t>Identité</t>
        </is>
      </c>
      <c r="C273" s="6" t="inlineStr">
        <is>
          <t>https://groupe.orange.ci/fr/actualites/orange-cote-d-ivoire/notre-nouvelle-signature-orange-est-la.html</t>
        </is>
      </c>
    </row>
    <row r="274">
      <c r="A274" s="7" t="inlineStr">
        <is>
          <t>Orange Côte d'Ivoire</t>
        </is>
      </c>
      <c r="B274" s="9" t="inlineStr">
        <is>
          <t>Identité</t>
        </is>
      </c>
      <c r="C274" s="9" t="inlineStr">
        <is>
          <t>https://groupe.orange.ci/fr/groupe-orange-cote-divoire.html</t>
        </is>
      </c>
    </row>
    <row r="275">
      <c r="A275" s="4" t="inlineStr">
        <is>
          <t>Orange Côte d'Ivoire</t>
        </is>
      </c>
      <c r="B275" s="6" t="inlineStr">
        <is>
          <t>Presse et image</t>
        </is>
      </c>
      <c r="C275" s="6" t="inlineStr">
        <is>
          <t>https://www.afrique-sur7.fr/cote-divoire-lartci-sanctionne-moov-mtn-et-orange-a-hauteur-de-1317-milliards-fcfa</t>
        </is>
      </c>
    </row>
    <row r="276">
      <c r="A276" s="7" t="inlineStr">
        <is>
          <t>Orange Côte d'Ivoire</t>
        </is>
      </c>
      <c r="B276" s="9" t="inlineStr">
        <is>
          <t>Presse et image</t>
        </is>
      </c>
      <c r="C276" s="9" t="inlineStr">
        <is>
          <t>https://pulse.ci/article/orange-cote-divoire-a-lecoute</t>
        </is>
      </c>
    </row>
    <row r="277">
      <c r="A277" s="4" t="inlineStr">
        <is>
          <t>Orange Côte d'Ivoire</t>
        </is>
      </c>
      <c r="B277" s="6" t="inlineStr">
        <is>
          <t>Presse et image</t>
        </is>
      </c>
      <c r="C277" s="6" t="inlineStr">
        <is>
          <t>https://groupe.orange.ci/site-institutionnel/resources/other/ORANGE%20CI%20-%20Rapport%20Annuel%20Integre%202024_VF.pdf</t>
        </is>
      </c>
    </row>
    <row r="278">
      <c r="A278" s="7" t="inlineStr">
        <is>
          <t>MTN Côte d'Ivoire</t>
        </is>
      </c>
      <c r="B278" s="9" t="inlineStr">
        <is>
          <t>Identité</t>
        </is>
      </c>
      <c r="C278" s="9" t="inlineStr">
        <is>
          <t>https://www.mtn.ci/</t>
        </is>
      </c>
    </row>
    <row r="279">
      <c r="A279" s="4" t="inlineStr">
        <is>
          <t>MTN Côte d'Ivoire</t>
        </is>
      </c>
      <c r="B279" s="6" t="inlineStr">
        <is>
          <t>Identité</t>
        </is>
      </c>
      <c r="C279" s="6" t="inlineStr">
        <is>
          <t>http://www.mtn.ci/a-propos-page-daccueil/</t>
        </is>
      </c>
    </row>
    <row r="280">
      <c r="A280" s="7" t="inlineStr">
        <is>
          <t>MTN Côte d'Ivoire</t>
        </is>
      </c>
      <c r="B280" s="9" t="inlineStr">
        <is>
          <t>Presse et image</t>
        </is>
      </c>
      <c r="C280" s="9" t="inlineStr">
        <is>
          <t>https://www.fratmat.info/article/2642370/economie/telecommunications-mtn-cote-divoire-annonce-un-changement-a-la-tete-de-sa-direction-generale</t>
        </is>
      </c>
    </row>
    <row r="281">
      <c r="A281" s="4" t="inlineStr">
        <is>
          <t>MTN Côte d'Ivoire</t>
        </is>
      </c>
      <c r="B281" s="6" t="inlineStr">
        <is>
          <t>Presse et image</t>
        </is>
      </c>
      <c r="C281" s="6" t="inlineStr">
        <is>
          <t>https://itweb.africa/article/mtn-cote-divoire-turns-20-eyes-major-digital-future-growth/Gb3BwMWaJwrv2k6V</t>
        </is>
      </c>
    </row>
    <row r="282">
      <c r="A282" s="7" t="inlineStr">
        <is>
          <t>MTN Côte d'Ivoire</t>
        </is>
      </c>
      <c r="B282" s="9" t="inlineStr">
        <is>
          <t>Presse et image</t>
        </is>
      </c>
      <c r="C282" s="9" t="inlineStr">
        <is>
          <t>https://www.afrique-sur7.fr/cote-divoire-lartci-sanctionne-moov-mtn-et-orange-a-hauteur-de-1317-milliards-fcfa</t>
        </is>
      </c>
    </row>
    <row r="283">
      <c r="A283" s="4" t="inlineStr">
        <is>
          <t>MTN Côte d'Ivoire</t>
        </is>
      </c>
      <c r="B283" s="6" t="inlineStr">
        <is>
          <t>Presse et image</t>
        </is>
      </c>
      <c r="C283" s="6" t="inlineStr">
        <is>
          <t>https://launchbaseafrica.com/2025/08/29/is-waves-golden-era-over-regulators-and-mtn-close-in-on-the-payments-unicorn</t>
        </is>
      </c>
    </row>
    <row r="284">
      <c r="A284" s="7" t="inlineStr">
        <is>
          <t>MTN Côte d'Ivoire</t>
        </is>
      </c>
      <c r="B284" s="9" t="inlineStr">
        <is>
          <t>Presse et image</t>
        </is>
      </c>
      <c r="C284" s="9" t="inlineStr">
        <is>
          <t>https://www.communication.gouv.ci/actualite/274</t>
        </is>
      </c>
    </row>
    <row r="285">
      <c r="A285" s="4" t="inlineStr">
        <is>
          <t>Moov Africa Côte d'Ivoire</t>
        </is>
      </c>
      <c r="B285" s="6" t="inlineStr">
        <is>
          <t>Identité</t>
        </is>
      </c>
      <c r="C285" s="6" t="inlineStr">
        <is>
          <t>https://www.moov-africa.ci/</t>
        </is>
      </c>
    </row>
    <row r="286">
      <c r="A286" s="7" t="inlineStr">
        <is>
          <t>Moov Africa Côte d'Ivoire</t>
        </is>
      </c>
      <c r="B286" s="9" t="inlineStr">
        <is>
          <t>Identité</t>
        </is>
      </c>
      <c r="C286" s="9" t="inlineStr">
        <is>
          <t>https://www.moov-africa.ci/ (page 20 ans)</t>
        </is>
      </c>
    </row>
    <row r="287">
      <c r="A287" s="4" t="inlineStr">
        <is>
          <t>Moov Africa Côte d'Ivoire</t>
        </is>
      </c>
      <c r="B287" s="6" t="inlineStr">
        <is>
          <t>Presse et image</t>
        </is>
      </c>
      <c r="C287" s="6" t="inlineStr">
        <is>
          <t>https://www.moov-africa.ci/</t>
        </is>
      </c>
    </row>
    <row r="288">
      <c r="A288" s="7" t="inlineStr">
        <is>
          <t>Moov Africa Côte d'Ivoire</t>
        </is>
      </c>
      <c r="B288" s="9" t="inlineStr">
        <is>
          <t>Presse et image</t>
        </is>
      </c>
      <c r="C288" s="9" t="inlineStr">
        <is>
          <t>https://www.afrique-sur7.fr/cote-divoire-lartci-sanctionne-moov-mtn-et-orange-a-hauteur-de-1317-milliards-fcfa</t>
        </is>
      </c>
    </row>
    <row r="289">
      <c r="A289" s="4" t="inlineStr">
        <is>
          <t>Moov Africa Côte d'Ivoire</t>
        </is>
      </c>
      <c r="B289" s="6" t="inlineStr">
        <is>
          <t>Presse et image</t>
        </is>
      </c>
      <c r="C289" s="6" t="inlineStr">
        <is>
          <t>https://linkedin.com/in/youssef-ktiri-9447a039</t>
        </is>
      </c>
    </row>
    <row r="290">
      <c r="A290" s="7" t="inlineStr">
        <is>
          <t>Wave Côte d'Ivoire</t>
        </is>
      </c>
      <c r="B290" s="9" t="inlineStr">
        <is>
          <t>Identité</t>
        </is>
      </c>
      <c r="C290" s="9" t="inlineStr">
        <is>
          <t>https://www.wave.com/fr/about/</t>
        </is>
      </c>
    </row>
    <row r="291">
      <c r="A291" s="4" t="inlineStr">
        <is>
          <t>Wave Côte d'Ivoire</t>
        </is>
      </c>
      <c r="B291" s="6" t="inlineStr">
        <is>
          <t>Presse et image</t>
        </is>
      </c>
      <c r="C291" s="6" t="inlineStr">
        <is>
          <t>https://cio-mag.com/cote-divoire-katier-bamba-decrypte-le-modele-de-cohabitation-entre-wave-et-lecosysteme-bancaire</t>
        </is>
      </c>
    </row>
    <row r="292">
      <c r="A292" s="7" t="inlineStr">
        <is>
          <t>Wave Côte d'Ivoire</t>
        </is>
      </c>
      <c r="B292" s="9" t="inlineStr">
        <is>
          <t>Presse et image</t>
        </is>
      </c>
      <c r="C292" s="9" t="inlineStr">
        <is>
          <t>https://forbesafrique.com/</t>
        </is>
      </c>
    </row>
    <row r="293">
      <c r="A293" s="4" t="inlineStr">
        <is>
          <t>Wave Côte d'Ivoire</t>
        </is>
      </c>
      <c r="B293" s="6" t="inlineStr">
        <is>
          <t>Presse et image</t>
        </is>
      </c>
      <c r="C293" s="6" t="inlineStr">
        <is>
          <t>https://launchbaseafrica.com/2025/08/29/is-waves-golden-era-over-regulators-and-mtn-close-in-on-the-payments-unicorn</t>
        </is>
      </c>
    </row>
    <row r="294">
      <c r="A294" s="7" t="inlineStr">
        <is>
          <t>Société Générale Côte d'Ivoire</t>
        </is>
      </c>
      <c r="B294" s="9" t="inlineStr">
        <is>
          <t>Identité</t>
        </is>
      </c>
      <c r="C294" s="9" t="inlineStr">
        <is>
          <t>https://societegenerale.ci/fr/</t>
        </is>
      </c>
    </row>
    <row r="295">
      <c r="A295" s="4" t="inlineStr">
        <is>
          <t>Société Générale Côte d'Ivoire</t>
        </is>
      </c>
      <c r="B295" s="6" t="inlineStr">
        <is>
          <t>Identité</t>
        </is>
      </c>
      <c r="C295" s="6" t="inlineStr">
        <is>
          <t>https://institutionnel.societegenerale.ci/fr/</t>
        </is>
      </c>
    </row>
    <row r="296">
      <c r="A296" s="7" t="inlineStr">
        <is>
          <t>Société Générale Côte d'Ivoire</t>
        </is>
      </c>
      <c r="B296" s="9" t="inlineStr">
        <is>
          <t>Presse et image</t>
        </is>
      </c>
      <c r="C296" s="9" t="inlineStr">
        <is>
          <t>http://ivoirematin.com/en/news/Economie/sgci-une-pluie-de-dividendes-apres-une-annee-2025-record_n_120578.html</t>
        </is>
      </c>
    </row>
    <row r="297">
      <c r="A297" s="4" t="inlineStr">
        <is>
          <t>Société Générale Côte d'Ivoire</t>
        </is>
      </c>
      <c r="B297" s="6" t="inlineStr">
        <is>
          <t>Presse et image</t>
        </is>
      </c>
      <c r="C297" s="6" t="inlineStr">
        <is>
          <t>https://dabafinance.com/fr/nouvelles/sgci-full-year-2025-financial-results</t>
        </is>
      </c>
    </row>
    <row r="298">
      <c r="A298" s="7" t="inlineStr">
        <is>
          <t>NSIA Banque Côte d'Ivoire (groupe NSIA)</t>
        </is>
      </c>
      <c r="B298" s="9" t="inlineStr">
        <is>
          <t>Identité</t>
        </is>
      </c>
      <c r="C298" s="9" t="inlineStr">
        <is>
          <t>https://www.nsiabanque.ci/</t>
        </is>
      </c>
    </row>
    <row r="299">
      <c r="A299" s="4" t="inlineStr">
        <is>
          <t>NSIA Banque Côte d'Ivoire (groupe NSIA)</t>
        </is>
      </c>
      <c r="B299" s="6" t="inlineStr">
        <is>
          <t>Presse et image</t>
        </is>
      </c>
      <c r="C299" s="6" t="inlineStr">
        <is>
          <t>https://www.sikafinance.com/</t>
        </is>
      </c>
    </row>
    <row r="300">
      <c r="A300" s="7" t="inlineStr">
        <is>
          <t>NSIA Banque Côte d'Ivoire (groupe NSIA)</t>
        </is>
      </c>
      <c r="B300" s="9" t="inlineStr">
        <is>
          <t>Presse et image</t>
        </is>
      </c>
      <c r="C300" s="9" t="inlineStr">
        <is>
          <t>https://www.aip.ci/electionpresidentielle2025/article.php?id=420951</t>
        </is>
      </c>
    </row>
    <row r="301">
      <c r="A301" s="4" t="inlineStr">
        <is>
          <t>Ecobank Côte d'Ivoire</t>
        </is>
      </c>
      <c r="B301" s="6" t="inlineStr">
        <is>
          <t>Identité</t>
        </is>
      </c>
      <c r="C301" s="6" t="inlineStr">
        <is>
          <t>https://ecobank.com/ci/personal-banking</t>
        </is>
      </c>
    </row>
    <row r="302">
      <c r="A302" s="7" t="inlineStr">
        <is>
          <t>Ecobank Côte d'Ivoire</t>
        </is>
      </c>
      <c r="B302" s="9" t="inlineStr">
        <is>
          <t>Presse et image</t>
        </is>
      </c>
      <c r="C302" s="9" t="inlineStr">
        <is>
          <t>https://www.brvm.org/sites/default/files/20260414_-_rapport_dactivites_et_etats_financiers_-_exercice_2025_-_ecobank_ci.pdf</t>
        </is>
      </c>
    </row>
    <row r="303">
      <c r="A303" s="4" t="inlineStr">
        <is>
          <t>Ecobank Côte d'Ivoire</t>
        </is>
      </c>
      <c r="B303" s="6" t="inlineStr">
        <is>
          <t>Presse et image</t>
        </is>
      </c>
      <c r="C303" s="6" t="inlineStr">
        <is>
          <t>https://www.ecofinagency.com/news-finances/1009-58784-cote-divoire-ecobank-posts-8-6-profit-drop-as-cost-of-risk-rises</t>
        </is>
      </c>
    </row>
    <row r="304">
      <c r="A304" s="7" t="inlineStr">
        <is>
          <t>Banque Atlantique Côte d'Ivoire</t>
        </is>
      </c>
      <c r="B304" s="9" t="inlineStr">
        <is>
          <t>Identité</t>
        </is>
      </c>
      <c r="C304" s="9" t="inlineStr">
        <is>
          <t>https://www.banqueatlantique.net/</t>
        </is>
      </c>
    </row>
    <row r="305">
      <c r="A305" s="4" t="inlineStr">
        <is>
          <t>Banque Atlantique Côte d'Ivoire</t>
        </is>
      </c>
      <c r="B305" s="6" t="inlineStr">
        <is>
          <t>Presse et image</t>
        </is>
      </c>
      <c r="C305" s="6" t="inlineStr">
        <is>
          <t>https://www.agenceecofin.com/banque/0710-122199-cote-d-ivoire-banque-atlantique-nomme-deux-directeurs-generaux-adjoints</t>
        </is>
      </c>
    </row>
    <row r="306">
      <c r="A306" s="7" t="inlineStr">
        <is>
          <t>CIE (Compagnie Ivoirienne d'Électricité)</t>
        </is>
      </c>
      <c r="B306" s="9" t="inlineStr">
        <is>
          <t>Identité</t>
        </is>
      </c>
      <c r="C306" s="9" t="inlineStr">
        <is>
          <t>https://www.cie.ci/</t>
        </is>
      </c>
    </row>
    <row r="307">
      <c r="A307" s="4" t="inlineStr">
        <is>
          <t>CIE (Compagnie Ivoirienne d'Électricité)</t>
        </is>
      </c>
      <c r="B307" s="6" t="inlineStr">
        <is>
          <t>Presse et image</t>
        </is>
      </c>
      <c r="C307" s="6" t="inlineStr">
        <is>
          <t>https://rti.info/delestage-a-abidjan-la-cie-evoque-des-travaux-sur-les-installations-de-gaz-naturel</t>
        </is>
      </c>
    </row>
    <row r="308">
      <c r="A308" s="7" t="inlineStr">
        <is>
          <t>CIE (Compagnie Ivoirienne d'Électricité)</t>
        </is>
      </c>
      <c r="B308" s="9" t="inlineStr">
        <is>
          <t>Presse et image</t>
        </is>
      </c>
      <c r="C308" s="9" t="inlineStr">
        <is>
          <t>https://www.koaci.com/</t>
        </is>
      </c>
    </row>
    <row r="309">
      <c r="A309" s="4" t="inlineStr">
        <is>
          <t>CIE (Compagnie Ivoirienne d'Électricité)</t>
        </is>
      </c>
      <c r="B309" s="6" t="inlineStr">
        <is>
          <t>Presse et image</t>
        </is>
      </c>
      <c r="C309" s="6" t="inlineStr">
        <is>
          <t>https://www.sikafinance.com/marches/jean-christian-turkson-nomme-directeur-general-de-la-cie_53596</t>
        </is>
      </c>
    </row>
    <row r="310">
      <c r="A310" s="7" t="inlineStr">
        <is>
          <t>SODECI</t>
        </is>
      </c>
      <c r="B310" s="9" t="inlineStr">
        <is>
          <t>Identité</t>
        </is>
      </c>
      <c r="C310" s="9" t="inlineStr">
        <is>
          <t>https://sodeci.ci/</t>
        </is>
      </c>
    </row>
    <row r="311">
      <c r="A311" s="4" t="inlineStr">
        <is>
          <t>SODECI</t>
        </is>
      </c>
      <c r="B311" s="6" t="inlineStr">
        <is>
          <t>Presse et image</t>
        </is>
      </c>
      <c r="C311" s="6" t="inlineStr">
        <is>
          <t>https://fr.apanews.net/social/abidjan-coupure-deau-a-akouedo-la-sodeci-mobilisee/</t>
        </is>
      </c>
    </row>
    <row r="312">
      <c r="A312" s="7" t="inlineStr">
        <is>
          <t>SODECI</t>
        </is>
      </c>
      <c r="B312" s="9" t="inlineStr">
        <is>
          <t>Presse et image</t>
        </is>
      </c>
      <c r="C312" s="9" t="inlineStr">
        <is>
          <t>https://sodeci.ci/</t>
        </is>
      </c>
    </row>
    <row r="313">
      <c r="A313" s="4" t="inlineStr">
        <is>
          <t>PETROCI Holding</t>
        </is>
      </c>
      <c r="B313" s="6" t="inlineStr">
        <is>
          <t>Identité</t>
        </is>
      </c>
      <c r="C313" s="6" t="inlineStr">
        <is>
          <t>https://www.petroci.ci/presentation/</t>
        </is>
      </c>
    </row>
    <row r="314">
      <c r="A314" s="7" t="inlineStr">
        <is>
          <t>PETROCI Holding</t>
        </is>
      </c>
      <c r="B314" s="9" t="inlineStr">
        <is>
          <t>Presse et image</t>
        </is>
      </c>
      <c r="C314" s="9" t="inlineStr">
        <is>
          <t>https://www.petroci.ci/</t>
        </is>
      </c>
    </row>
    <row r="315">
      <c r="A315" s="4" t="inlineStr">
        <is>
          <t>PETROCI Holding</t>
        </is>
      </c>
      <c r="B315" s="6" t="inlineStr">
        <is>
          <t>Presse et image</t>
        </is>
      </c>
      <c r="C315" s="6" t="inlineStr">
        <is>
          <t>https://www.aip.ci/electionpresidentielle2025/article.php?id=412283</t>
        </is>
      </c>
    </row>
    <row r="316">
      <c r="A316" s="7" t="inlineStr">
        <is>
          <t>SIR (Société Ivoirienne de Raffinage)</t>
        </is>
      </c>
      <c r="B316" s="9" t="inlineStr">
        <is>
          <t>Identité</t>
        </is>
      </c>
      <c r="C316" s="9" t="inlineStr">
        <is>
          <t>https://www.sir.ci/</t>
        </is>
      </c>
    </row>
    <row r="317">
      <c r="A317" s="4" t="inlineStr">
        <is>
          <t>SIR (Société Ivoirienne de Raffinage)</t>
        </is>
      </c>
      <c r="B317" s="6" t="inlineStr">
        <is>
          <t>Presse et image</t>
        </is>
      </c>
      <c r="C317" s="6" t="inlineStr">
        <is>
          <t>https://www.sir.ci/</t>
        </is>
      </c>
    </row>
    <row r="318">
      <c r="A318" s="7" t="inlineStr">
        <is>
          <t>SIR (Société Ivoirienne de Raffinage)</t>
        </is>
      </c>
      <c r="B318" s="9" t="inlineStr">
        <is>
          <t>Presse et image</t>
        </is>
      </c>
      <c r="C318" s="9" t="inlineStr">
        <is>
          <t>https://www.sikafinance.com/premium/cote-d-ivoire-les-10-plus-grandes-entreprises-realisent-un-chiffre-d-affaires-de-plus-de-7-000-milliards-fcfa_56984</t>
        </is>
      </c>
    </row>
    <row r="319">
      <c r="A319" s="4" t="inlineStr">
        <is>
          <t>Groupe SIFCA</t>
        </is>
      </c>
      <c r="B319" s="6" t="inlineStr">
        <is>
          <t>Identité</t>
        </is>
      </c>
      <c r="C319" s="6" t="inlineStr">
        <is>
          <t>https://groupesifca.com/</t>
        </is>
      </c>
    </row>
    <row r="320">
      <c r="A320" s="7" t="inlineStr">
        <is>
          <t>Groupe SIFCA</t>
        </is>
      </c>
      <c r="B320" s="9" t="inlineStr">
        <is>
          <t>Identité</t>
        </is>
      </c>
      <c r="C320" s="9" t="inlineStr">
        <is>
          <t>https://groupesifca.com/presentation-du-groupe-sifca</t>
        </is>
      </c>
    </row>
    <row r="321">
      <c r="A321" s="4" t="inlineStr">
        <is>
          <t>Groupe SIFCA</t>
        </is>
      </c>
      <c r="B321" s="6" t="inlineStr">
        <is>
          <t>Presse et image</t>
        </is>
      </c>
      <c r="C321" s="6" t="inlineStr">
        <is>
          <t>https://groupesifca.com/</t>
        </is>
      </c>
    </row>
    <row r="322">
      <c r="A322" s="7" t="inlineStr">
        <is>
          <t>SAPH</t>
        </is>
      </c>
      <c r="B322" s="9" t="inlineStr">
        <is>
          <t>Identité</t>
        </is>
      </c>
      <c r="C322" s="9" t="inlineStr">
        <is>
          <t>https://saph.ci/</t>
        </is>
      </c>
    </row>
    <row r="323">
      <c r="A323" s="4" t="inlineStr">
        <is>
          <t>SAPH</t>
        </is>
      </c>
      <c r="B323" s="6" t="inlineStr">
        <is>
          <t>Presse et image</t>
        </is>
      </c>
      <c r="C323" s="6" t="inlineStr">
        <is>
          <t>https://siph.groupesifca.com/en/saph-inaugurates-new-social-facilities-in-toupah-ousrou</t>
        </is>
      </c>
    </row>
    <row r="324">
      <c r="A324" s="7" t="inlineStr">
        <is>
          <t>SAPH</t>
        </is>
      </c>
      <c r="B324" s="9" t="inlineStr">
        <is>
          <t>Presse et image</t>
        </is>
      </c>
      <c r="C324" s="9" t="inlineStr">
        <is>
          <t>https://sikafinance.com/marches/societe/SPHC.ci</t>
        </is>
      </c>
    </row>
    <row r="325">
      <c r="A325" s="4" t="inlineStr">
        <is>
          <t>Solibra</t>
        </is>
      </c>
      <c r="B325" s="6" t="inlineStr">
        <is>
          <t>Identité</t>
        </is>
      </c>
      <c r="C325" s="6" t="inlineStr">
        <is>
          <t>https://www.solibra.ci/</t>
        </is>
      </c>
    </row>
    <row r="326">
      <c r="A326" s="7" t="inlineStr">
        <is>
          <t>Solibra</t>
        </is>
      </c>
      <c r="B326" s="9" t="inlineStr">
        <is>
          <t>Presse et image</t>
        </is>
      </c>
      <c r="C326" s="9" t="inlineStr">
        <is>
          <t>https://www.solibra.ci/</t>
        </is>
      </c>
    </row>
    <row r="327">
      <c r="A327" s="4" t="inlineStr">
        <is>
          <t>Solibra</t>
        </is>
      </c>
      <c r="B327" s="6" t="inlineStr">
        <is>
          <t>Presse et image</t>
        </is>
      </c>
      <c r="C327" s="6" t="inlineStr">
        <is>
          <t>https://ivoireindustriemag.com/en/articles/solibra-un-ca-historique-de-37812-milliards-de-fcfa-en-2025-wqhgub</t>
        </is>
      </c>
    </row>
    <row r="328">
      <c r="A328" s="7" t="inlineStr">
        <is>
          <t>Air Côte d'Ivoire</t>
        </is>
      </c>
      <c r="B328" s="9" t="inlineStr">
        <is>
          <t>Identité</t>
        </is>
      </c>
      <c r="C328" s="9" t="inlineStr">
        <is>
          <t>https://www.aircotedivoire.com/</t>
        </is>
      </c>
    </row>
    <row r="329">
      <c r="A329" s="4" t="inlineStr">
        <is>
          <t>Air Côte d'Ivoire</t>
        </is>
      </c>
      <c r="B329" s="6" t="inlineStr">
        <is>
          <t>Presse et image</t>
        </is>
      </c>
      <c r="C329" s="6" t="inlineStr">
        <is>
          <t>https://aerospaceglobalnews.com/news/40pc-loads-air-cote-divoire-paris</t>
        </is>
      </c>
    </row>
    <row r="330">
      <c r="A330" s="7" t="inlineStr">
        <is>
          <t>Port Autonome d'Abidjan</t>
        </is>
      </c>
      <c r="B330" s="9" t="inlineStr">
        <is>
          <t>Identité</t>
        </is>
      </c>
      <c r="C330" s="9" t="inlineStr">
        <is>
          <t>https://portabidjan.ci/fr</t>
        </is>
      </c>
    </row>
    <row r="331">
      <c r="A331" s="4" t="inlineStr">
        <is>
          <t>Port Autonome d'Abidjan</t>
        </is>
      </c>
      <c r="B331" s="6" t="inlineStr">
        <is>
          <t>Presse et image</t>
        </is>
      </c>
      <c r="C331" s="6" t="inlineStr">
        <is>
          <t>https://www.portabidjan.ci/fr/actualites/m-kassoum-traore-designe-directeur-general-par-interim-du-port-autonome-dabidjan</t>
        </is>
      </c>
    </row>
    <row r="332">
      <c r="A332" s="7" t="inlineStr">
        <is>
          <t>Prosuma</t>
        </is>
      </c>
      <c r="B332" s="9" t="inlineStr">
        <is>
          <t>Identité</t>
        </is>
      </c>
      <c r="C332" s="9" t="inlineStr">
        <is>
          <t>https://groupeprosuma.com/</t>
        </is>
      </c>
    </row>
    <row r="333">
      <c r="A333" s="4" t="inlineStr">
        <is>
          <t>Prosuma</t>
        </is>
      </c>
      <c r="B333" s="6" t="inlineStr">
        <is>
          <t>Presse et image</t>
        </is>
      </c>
      <c r="C333" s="6" t="inlineStr">
        <is>
          <t>https://groupeprosuma.com/</t>
        </is>
      </c>
    </row>
    <row r="334">
      <c r="A334" s="7" t="inlineStr">
        <is>
          <t>Uniwax</t>
        </is>
      </c>
      <c r="B334" s="9" t="inlineStr">
        <is>
          <t>Identité</t>
        </is>
      </c>
      <c r="C334" s="9" t="inlineStr">
        <is>
          <t>https://www.uniwax.com/</t>
        </is>
      </c>
    </row>
    <row r="335">
      <c r="A335" s="4" t="inlineStr">
        <is>
          <t>Uniwax</t>
        </is>
      </c>
      <c r="B335" s="6" t="inlineStr">
        <is>
          <t>Presse et image</t>
        </is>
      </c>
      <c r="C335" s="6" t="inlineStr">
        <is>
          <t>https://www.uniwax.com/</t>
        </is>
      </c>
    </row>
    <row r="336">
      <c r="A336" s="7" t="inlineStr">
        <is>
          <t>Uniwax</t>
        </is>
      </c>
      <c r="B336" s="9" t="inlineStr">
        <is>
          <t>Presse et image</t>
        </is>
      </c>
      <c r="C336" s="9" t="inlineStr">
        <is>
          <t>https://www.sikafinance.com/marches/uniwax-l-art-du-mirage-comptable-ou-comment-8-milliards-fcfa-se-sont-volatilises_62717</t>
        </is>
      </c>
    </row>
    <row r="337">
      <c r="A337" s="4" t="inlineStr">
        <is>
          <t>Sania (groupe SIFCA)</t>
        </is>
      </c>
      <c r="B337" s="6" t="inlineStr">
        <is>
          <t>Identité</t>
        </is>
      </c>
      <c r="C337" s="6" t="inlineStr">
        <is>
          <t>https://www.sania.ci/</t>
        </is>
      </c>
    </row>
    <row r="338">
      <c r="A338" s="7" t="inlineStr">
        <is>
          <t>Sania (groupe SIFCA)</t>
        </is>
      </c>
      <c r="B338" s="9" t="inlineStr">
        <is>
          <t>Presse et image</t>
        </is>
      </c>
      <c r="C338" s="9" t="inlineStr">
        <is>
          <t>https://www.sania.ci/</t>
        </is>
      </c>
    </row>
    <row r="339">
      <c r="A339" s="4" t="inlineStr">
        <is>
          <t>Présidence de la République de Côte d'Ivoire</t>
        </is>
      </c>
      <c r="B339" s="6" t="inlineStr">
        <is>
          <t>Identité</t>
        </is>
      </c>
      <c r="C339" s="6" t="inlineStr">
        <is>
          <t>https://www.presidence.ci/</t>
        </is>
      </c>
    </row>
    <row r="340">
      <c r="A340" s="7" t="inlineStr">
        <is>
          <t>Présidence de la République de Côte d'Ivoire</t>
        </is>
      </c>
      <c r="B340" s="9" t="inlineStr">
        <is>
          <t>Presse et image</t>
        </is>
      </c>
      <c r="C340" s="9" t="inlineStr">
        <is>
          <t>https://www.presidence.ci/communiques-presidence/communique-de-la-presidence-de-la-republique-8/</t>
        </is>
      </c>
    </row>
    <row r="341">
      <c r="A341" s="4" t="inlineStr">
        <is>
          <t>Présidence de la République de Côte d'Ivoire</t>
        </is>
      </c>
      <c r="B341" s="6" t="inlineStr">
        <is>
          <t>Presse et image</t>
        </is>
      </c>
      <c r="C341" s="6" t="inlineStr">
        <is>
          <t>https://fr.apanews.net/</t>
        </is>
      </c>
    </row>
    <row r="342">
      <c r="A342" s="7" t="inlineStr">
        <is>
          <t>Gouvernement de Côte d'Ivoire / Primature</t>
        </is>
      </c>
      <c r="B342" s="9" t="inlineStr">
        <is>
          <t>Identité</t>
        </is>
      </c>
      <c r="C342" s="9" t="inlineStr">
        <is>
          <t>https://www.gouv.ci/accueil</t>
        </is>
      </c>
    </row>
    <row r="343">
      <c r="A343" s="4" t="inlineStr">
        <is>
          <t>Gouvernement de Côte d'Ivoire / Primature</t>
        </is>
      </c>
      <c r="B343" s="6" t="inlineStr">
        <is>
          <t>Presse et image</t>
        </is>
      </c>
      <c r="C343" s="6" t="inlineStr">
        <is>
          <t>https://www.presidence.ci/communiques-presidence/communique-de-la-presidence-de-la-republique-8/</t>
        </is>
      </c>
    </row>
    <row r="344">
      <c r="A344" s="7" t="inlineStr">
        <is>
          <t>Gouvernement de Côte d'Ivoire / Primature</t>
        </is>
      </c>
      <c r="B344" s="9" t="inlineStr">
        <is>
          <t>Presse et image</t>
        </is>
      </c>
      <c r="C344" s="9" t="inlineStr">
        <is>
          <t>https://fr.apanews.net/</t>
        </is>
      </c>
    </row>
    <row r="345">
      <c r="A345" s="4" t="inlineStr">
        <is>
          <t>Gouvernement de Côte d'Ivoire / Primature</t>
        </is>
      </c>
      <c r="B345" s="6" t="inlineStr">
        <is>
          <t>Presse et image</t>
        </is>
      </c>
      <c r="C345" s="6" t="inlineStr">
        <is>
          <t>https://www.gouv.ci/accueil</t>
        </is>
      </c>
    </row>
    <row r="346">
      <c r="A346" s="7" t="inlineStr">
        <is>
          <t>Ministère de la Communication, Porte-Parole du Gouvernement</t>
        </is>
      </c>
      <c r="B346" s="9" t="inlineStr">
        <is>
          <t>Identité</t>
        </is>
      </c>
      <c r="C346" s="9" t="inlineStr">
        <is>
          <t>https://www.communication.gouv.ci/accueil</t>
        </is>
      </c>
    </row>
    <row r="347">
      <c r="A347" s="4" t="inlineStr">
        <is>
          <t>Ministère de la Communication, Porte-Parole du Gouvernement</t>
        </is>
      </c>
      <c r="B347" s="6" t="inlineStr">
        <is>
          <t>Presse et image</t>
        </is>
      </c>
      <c r="C347" s="6" t="inlineStr">
        <is>
          <t>https://www.presidence.ci/communiques-presidence/communique-de-la-presidence-de-la-republique-8/</t>
        </is>
      </c>
    </row>
    <row r="348">
      <c r="A348" s="7" t="inlineStr">
        <is>
          <t>Ministère de la Communication, Porte-Parole du Gouvernement</t>
        </is>
      </c>
      <c r="B348" s="9" t="inlineStr">
        <is>
          <t>Presse et image</t>
        </is>
      </c>
      <c r="C348" s="9" t="inlineStr">
        <is>
          <t>https://fr.apanews.net/</t>
        </is>
      </c>
    </row>
    <row r="349">
      <c r="A349" s="4" t="inlineStr">
        <is>
          <t>Ministère de la Communication, Porte-Parole du Gouvernement</t>
        </is>
      </c>
      <c r="B349" s="6" t="inlineStr">
        <is>
          <t>Presse et image</t>
        </is>
      </c>
      <c r="C349" s="6" t="inlineStr">
        <is>
          <t>https://news.abidjan.net/articles/749713/audiovisuel-amadou-coulibaly-salue-louverture-a-abidjan-dun-nouveau-studio-a-abidjan</t>
        </is>
      </c>
    </row>
    <row r="350">
      <c r="A350" s="7" t="inlineStr">
        <is>
          <t>CICG (Centre d'Information et de Communication Gouvernementale)</t>
        </is>
      </c>
      <c r="B350" s="9" t="inlineStr">
        <is>
          <t>Identité</t>
        </is>
      </c>
      <c r="C350" s="9" t="inlineStr">
        <is>
          <t>https://www.cicg.gouv.ci/accueil</t>
        </is>
      </c>
    </row>
    <row r="351">
      <c r="A351" s="4" t="inlineStr">
        <is>
          <t>CICG (Centre d'Information et de Communication Gouvernementale)</t>
        </is>
      </c>
      <c r="B351" s="6" t="inlineStr">
        <is>
          <t>Presse et image</t>
        </is>
      </c>
      <c r="C351" s="6" t="inlineStr">
        <is>
          <t>https://www.cicg.gouv.ci/accueil</t>
        </is>
      </c>
    </row>
    <row r="352">
      <c r="A352" s="7" t="inlineStr">
        <is>
          <t>Marque pays « Sublime Côte d'Ivoire » (tourisme)</t>
        </is>
      </c>
      <c r="B352" s="9" t="inlineStr">
        <is>
          <t>Identité</t>
        </is>
      </c>
      <c r="C352" s="9" t="inlineStr">
        <is>
          <t>https://tourisme.gouv.ci/</t>
        </is>
      </c>
    </row>
    <row r="353">
      <c r="A353" s="4" t="inlineStr">
        <is>
          <t>Marque pays « Sublime Côte d'Ivoire » (tourisme)</t>
        </is>
      </c>
      <c r="B353" s="6" t="inlineStr">
        <is>
          <t>Presse et image</t>
        </is>
      </c>
      <c r="C353" s="6" t="inlineStr">
        <is>
          <t>https://www.fratmat.info/article/2643299/sports/tourisme-sportif-sublime-cote-divoire-et-lom-un-partenariat-qui-marque-des-points</t>
        </is>
      </c>
    </row>
    <row r="354">
      <c r="A354" s="7" t="inlineStr">
        <is>
          <t>Marque pays « Sublime Côte d'Ivoire » (tourisme)</t>
        </is>
      </c>
      <c r="B354" s="9" t="inlineStr">
        <is>
          <t>Presse et image</t>
        </is>
      </c>
      <c r="C354" s="9" t="inlineStr">
        <is>
          <t>https://en.africanmanager.com/tunisia-6th-most-influential-soft-power-nation-in-africa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2026-10-24T17:49:26Z</dcterms:created>
  <dcterms:modified xmlns:dcterms="http://purl.org/dc/terms/" xmlns:xsi="http://www.w3.org/2001/XMLSchema-instance" xsi:type="dcterms:W3CDTF">2026-10-24T17:49:27Z</dcterms:modified>
</cp:coreProperties>
</file>