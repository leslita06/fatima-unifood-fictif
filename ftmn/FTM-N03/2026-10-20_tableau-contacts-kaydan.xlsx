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Suivi hebdomadaire" sheetId="2" state="visible" r:id="rId2"/>
    <sheet xmlns:r="http://schemas.openxmlformats.org/officeDocument/2006/relationships" name="Motifs de ret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888888"/>
      <sz val="9"/>
    </font>
    <font>
      <b val="1"/>
      <color rgb="00FF5C00"/>
      <sz val="15"/>
    </font>
    <font>
      <b val="1"/>
      <color rgb="00FFFFFF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F5C00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20" customWidth="1" min="4" max="4"/>
    <col width="14" customWidth="1" min="5" max="5"/>
    <col width="18" customWidth="1" min="6" max="6"/>
    <col width="24" customWidth="1" min="7" max="7"/>
    <col width="13" customWidth="1" min="8" max="8"/>
    <col width="20" customWidth="1" min="9" max="9"/>
    <col width="16" customWidth="1" min="10" max="10"/>
    <col width="14" customWidth="1" min="11" max="11"/>
    <col width="12" customWidth="1" min="12" max="12"/>
    <col width="14" customWidth="1" min="13" max="13"/>
    <col width="10" customWidth="1" min="14" max="14"/>
    <col width="12" customWidth="1" min="15" max="15"/>
    <col width="22" customWidth="1" min="16" max="16"/>
  </cols>
  <sheetData>
    <row r="1">
      <c r="A1" s="1" t="inlineStr">
        <is>
          <t>KAYDAN GROUPE</t>
        </is>
      </c>
    </row>
    <row r="2">
      <c r="A2" s="2" t="inlineStr">
        <is>
          <t>30 contacts reçus (données fictives de test)</t>
        </is>
      </c>
    </row>
    <row r="4">
      <c r="A4" s="3" t="inlineStr">
        <is>
          <t>N°</t>
        </is>
      </c>
      <c r="B4" s="3" t="inlineStr">
        <is>
          <t>Date</t>
        </is>
      </c>
      <c r="C4" s="3" t="inlineStr">
        <is>
          <t>Nom</t>
        </is>
      </c>
      <c r="D4" s="3" t="inlineStr">
        <is>
          <t>Téléphone</t>
        </is>
      </c>
      <c r="E4" s="3" t="inlineStr">
        <is>
          <t>Source</t>
        </is>
      </c>
      <c r="F4" s="3" t="inlineStr">
        <is>
          <t>Programme</t>
        </is>
      </c>
      <c r="G4" s="3" t="inlineStr">
        <is>
          <t>Besoin</t>
        </is>
      </c>
      <c r="H4" s="3" t="inlineStr">
        <is>
          <t>Budget</t>
        </is>
      </c>
      <c r="I4" s="3" t="inlineStr">
        <is>
          <t>Financement</t>
        </is>
      </c>
      <c r="J4" s="3" t="inlineStr">
        <is>
          <t>Échéance</t>
        </is>
      </c>
      <c r="K4" s="3" t="inlineStr">
        <is>
          <t>Décideur</t>
        </is>
      </c>
      <c r="L4" s="3" t="inlineStr">
        <is>
          <t>Accord messages</t>
        </is>
      </c>
      <c r="M4" s="3" t="inlineStr">
        <is>
          <t>Niveau (calculé)</t>
        </is>
      </c>
      <c r="N4" s="3" t="inlineStr">
        <is>
          <t>Transmis</t>
        </is>
      </c>
      <c r="O4" s="3" t="inlineStr">
        <is>
          <t>Délai de rappel (jours)</t>
        </is>
      </c>
      <c r="P4" s="3" t="inlineStr">
        <is>
          <t>Devenir</t>
        </is>
      </c>
    </row>
    <row r="5">
      <c r="A5" s="4" t="inlineStr">
        <is>
          <t>C01</t>
        </is>
      </c>
      <c r="B5" s="4" t="inlineStr">
        <is>
          <t>01/09/2026</t>
        </is>
      </c>
      <c r="C5" s="4" t="inlineStr">
        <is>
          <t>Awa K. (fictif)</t>
        </is>
      </c>
      <c r="D5" s="4" t="inlineStr">
        <is>
          <t>+225 07 •• •• •• 44</t>
        </is>
      </c>
      <c r="E5" s="4" t="inlineStr">
        <is>
          <t>Salon</t>
        </is>
      </c>
      <c r="F5" s="4" t="inlineStr">
        <is>
          <t>Résidences Kotibé</t>
        </is>
      </c>
      <c r="G5" s="4" t="inlineStr">
        <is>
          <t>Achat résidence principale</t>
        </is>
      </c>
      <c r="H5" s="4" t="inlineStr">
        <is>
          <t>Non</t>
        </is>
      </c>
      <c r="I5" s="4" t="inlineStr">
        <is>
          <t>Non abordé</t>
        </is>
      </c>
      <c r="J5" s="4" t="inlineStr">
        <is>
          <t>6 à 12 mois</t>
        </is>
      </c>
      <c r="K5" s="4" t="inlineStr">
        <is>
          <t>Non abordé</t>
        </is>
      </c>
      <c r="L5" s="4" t="inlineStr">
        <is>
          <t>Oui</t>
        </is>
      </c>
      <c r="M5" s="4">
        <f>IF(COUNTIF(D5,"manquant")+COUNTIF(G5,"Simple*")+COUNTIF(H5,"Non")+COUNTIF(J5,"Plus*")+COUNTIF(J5,"Non abordé")+COUNTIF(K5,"&lt;&gt;Oui")=0,"Qualifié",IF(COUNTIF(D5,"manquant")+COUNTIF(G5,"Simple*")&gt;0,"Brut","Intéressé"))</f>
        <v/>
      </c>
      <c r="N5" s="4" t="inlineStr">
        <is>
          <t>Oui</t>
        </is>
      </c>
      <c r="O5" s="4" t="n">
        <v>1</v>
      </c>
      <c r="P5" s="4" t="inlineStr">
        <is>
          <t>Rendu : budget inconnu</t>
        </is>
      </c>
    </row>
    <row r="6">
      <c r="A6" s="5" t="inlineStr">
        <is>
          <t>C02</t>
        </is>
      </c>
      <c r="B6" s="5" t="inlineStr">
        <is>
          <t>01/09/2026</t>
        </is>
      </c>
      <c r="C6" s="5" t="inlineStr">
        <is>
          <t>Yao C. (fictif)</t>
        </is>
      </c>
      <c r="D6" s="5" t="inlineStr">
        <is>
          <t>+225 07 •• •• •• 47</t>
        </is>
      </c>
      <c r="E6" s="5" t="inlineStr">
        <is>
          <t>WhatsApp</t>
        </is>
      </c>
      <c r="F6" s="5" t="inlineStr">
        <is>
          <t>Non précisé</t>
        </is>
      </c>
      <c r="G6" s="5" t="inlineStr">
        <is>
          <t>Achat résidence principale</t>
        </is>
      </c>
      <c r="H6" s="5" t="inlineStr">
        <is>
          <t>Oui, déclaré</t>
        </is>
      </c>
      <c r="I6" s="5" t="inlineStr">
        <is>
          <t>Prêt bancaire en cours</t>
        </is>
      </c>
      <c r="J6" s="5" t="inlineStr">
        <is>
          <t>6 à 12 mois</t>
        </is>
      </c>
      <c r="K6" s="5" t="inlineStr">
        <is>
          <t>Oui</t>
        </is>
      </c>
      <c r="L6" s="5" t="inlineStr">
        <is>
          <t>Non noté</t>
        </is>
      </c>
      <c r="M6" s="5">
        <f>IF(COUNTIF(D6,"manquant")+COUNTIF(G6,"Simple*")+COUNTIF(H6,"Non")+COUNTIF(J6,"Plus*")+COUNTIF(J6,"Non abordé")+COUNTIF(K6,"&lt;&gt;Oui")=0,"Qualifié",IF(COUNTIF(D6,"manquant")+COUNTIF(G6,"Simple*")&gt;0,"Brut","Intéressé"))</f>
        <v/>
      </c>
      <c r="N6" s="5" t="inlineStr">
        <is>
          <t>Oui</t>
        </is>
      </c>
      <c r="O6" s="5" t="n">
        <v>1</v>
      </c>
      <c r="P6" s="5" t="inlineStr">
        <is>
          <t>Visite faite</t>
        </is>
      </c>
    </row>
    <row r="7">
      <c r="A7" s="4" t="inlineStr">
        <is>
          <t>C03</t>
        </is>
      </c>
      <c r="B7" s="4" t="inlineStr">
        <is>
          <t>02/09/2026</t>
        </is>
      </c>
      <c r="C7" s="4" t="inlineStr">
        <is>
          <t>Mariam N. (fictif)</t>
        </is>
      </c>
      <c r="D7" s="4" t="inlineStr">
        <is>
          <t>manquant</t>
        </is>
      </c>
      <c r="E7" s="4" t="inlineStr">
        <is>
          <t>Formulaire site</t>
        </is>
      </c>
      <c r="F7" s="4" t="inlineStr">
        <is>
          <t>Résidences Kotibé</t>
        </is>
      </c>
      <c r="G7" s="4" t="inlineStr">
        <is>
          <t>Achat résidence principale</t>
        </is>
      </c>
      <c r="H7" s="4" t="inlineStr">
        <is>
          <t>Non</t>
        </is>
      </c>
      <c r="I7" s="4" t="inlineStr">
        <is>
          <t>Prêt bancaire en cours</t>
        </is>
      </c>
      <c r="J7" s="4" t="inlineStr">
        <is>
          <t>Moins de 6 mois</t>
        </is>
      </c>
      <c r="K7" s="4" t="inlineStr">
        <is>
          <t>Non (conjoint)</t>
        </is>
      </c>
      <c r="L7" s="4" t="inlineStr">
        <is>
          <t>Oui</t>
        </is>
      </c>
      <c r="M7" s="4">
        <f>IF(COUNTIF(D7,"manquant")+COUNTIF(G7,"Simple*")+COUNTIF(H7,"Non")+COUNTIF(J7,"Plus*")+COUNTIF(J7,"Non abordé")+COUNTIF(K7,"&lt;&gt;Oui")=0,"Qualifié",IF(COUNTIF(D7,"manquant")+COUNTIF(G7,"Simple*")&gt;0,"Brut","Intéressé"))</f>
        <v/>
      </c>
      <c r="N7" s="4" t="inlineStr">
        <is>
          <t>Non</t>
        </is>
      </c>
      <c r="O7" s="4" t="inlineStr"/>
      <c r="P7" s="4" t="inlineStr">
        <is>
          <t>Gardé au marketing</t>
        </is>
      </c>
    </row>
    <row r="8">
      <c r="A8" s="5" t="inlineStr">
        <is>
          <t>C04</t>
        </is>
      </c>
      <c r="B8" s="5" t="inlineStr">
        <is>
          <t>02/09/2026</t>
        </is>
      </c>
      <c r="C8" s="5" t="inlineStr">
        <is>
          <t>Konan N. (fictif)</t>
        </is>
      </c>
      <c r="D8" s="5" t="inlineStr">
        <is>
          <t>+225 07 •• •• •• 72</t>
        </is>
      </c>
      <c r="E8" s="5" t="inlineStr">
        <is>
          <t>Formulaire site</t>
        </is>
      </c>
      <c r="F8" s="5" t="inlineStr">
        <is>
          <t>Non précisé</t>
        </is>
      </c>
      <c r="G8" s="5" t="inlineStr">
        <is>
          <t>Achat résidence principale</t>
        </is>
      </c>
      <c r="H8" s="5" t="inlineStr">
        <is>
          <t>Non</t>
        </is>
      </c>
      <c r="I8" s="5" t="inlineStr">
        <is>
          <t>Prêt bancaire en cours</t>
        </is>
      </c>
      <c r="J8" s="5" t="inlineStr">
        <is>
          <t>Plus de 12 mois</t>
        </is>
      </c>
      <c r="K8" s="5" t="inlineStr">
        <is>
          <t>Non (conjoint)</t>
        </is>
      </c>
      <c r="L8" s="5" t="inlineStr">
        <is>
          <t>Oui</t>
        </is>
      </c>
      <c r="M8" s="5">
        <f>IF(COUNTIF(D8,"manquant")+COUNTIF(G8,"Simple*")+COUNTIF(H8,"Non")+COUNTIF(J8,"Plus*")+COUNTIF(J8,"Non abordé")+COUNTIF(K8,"&lt;&gt;Oui")=0,"Qualifié",IF(COUNTIF(D8,"manquant")+COUNTIF(G8,"Simple*")&gt;0,"Brut","Intéressé"))</f>
        <v/>
      </c>
      <c r="N8" s="5" t="inlineStr">
        <is>
          <t>Oui</t>
        </is>
      </c>
      <c r="O8" s="5" t="n">
        <v>5</v>
      </c>
      <c r="P8" s="5" t="inlineStr">
        <is>
          <t>Rendez-vous pris</t>
        </is>
      </c>
    </row>
    <row r="9">
      <c r="A9" s="4" t="inlineStr">
        <is>
          <t>C05</t>
        </is>
      </c>
      <c r="B9" s="4" t="inlineStr">
        <is>
          <t>03/09/2026</t>
        </is>
      </c>
      <c r="C9" s="4" t="inlineStr">
        <is>
          <t>Aïcha O. (fictif)</t>
        </is>
      </c>
      <c r="D9" s="4" t="inlineStr">
        <is>
          <t>+225 07 •• •• •• 60</t>
        </is>
      </c>
      <c r="E9" s="4" t="inlineStr">
        <is>
          <t>Appel</t>
        </is>
      </c>
      <c r="F9" s="4" t="inlineStr">
        <is>
          <t>Résidences Kotibé</t>
        </is>
      </c>
      <c r="G9" s="4" t="inlineStr">
        <is>
          <t>Achat résidence principale</t>
        </is>
      </c>
      <c r="H9" s="4" t="inlineStr">
        <is>
          <t>Oui, déclaré</t>
        </is>
      </c>
      <c r="I9" s="4" t="inlineStr">
        <is>
          <t>Non abordé</t>
        </is>
      </c>
      <c r="J9" s="4" t="inlineStr">
        <is>
          <t>6 à 12 mois</t>
        </is>
      </c>
      <c r="K9" s="4" t="inlineStr">
        <is>
          <t>Oui</t>
        </is>
      </c>
      <c r="L9" s="4" t="inlineStr">
        <is>
          <t>Non noté</t>
        </is>
      </c>
      <c r="M9" s="4">
        <f>IF(COUNTIF(D9,"manquant")+COUNTIF(G9,"Simple*")+COUNTIF(H9,"Non")+COUNTIF(J9,"Plus*")+COUNTIF(J9,"Non abordé")+COUNTIF(K9,"&lt;&gt;Oui")=0,"Qualifié",IF(COUNTIF(D9,"manquant")+COUNTIF(G9,"Simple*")&gt;0,"Brut","Intéressé"))</f>
        <v/>
      </c>
      <c r="N9" s="4" t="inlineStr">
        <is>
          <t>Oui</t>
        </is>
      </c>
      <c r="O9" s="4" t="n">
        <v>1</v>
      </c>
      <c r="P9" s="4" t="inlineStr">
        <is>
          <t>Rendez-vous pris</t>
        </is>
      </c>
    </row>
    <row r="10">
      <c r="A10" s="5" t="inlineStr">
        <is>
          <t>C06</t>
        </is>
      </c>
      <c r="B10" s="5" t="inlineStr">
        <is>
          <t>04/09/2026</t>
        </is>
      </c>
      <c r="C10" s="5" t="inlineStr">
        <is>
          <t>Serge G. (fictif)</t>
        </is>
      </c>
      <c r="D10" s="5" t="inlineStr">
        <is>
          <t>+225 07 •• •• •• 26</t>
        </is>
      </c>
      <c r="E10" s="5" t="inlineStr">
        <is>
          <t>Appel</t>
        </is>
      </c>
      <c r="F10" s="5" t="inlineStr">
        <is>
          <t>Non précisé</t>
        </is>
      </c>
      <c r="G10" s="5" t="inlineStr">
        <is>
          <t>Achat résidence principale</t>
        </is>
      </c>
      <c r="H10" s="5" t="inlineStr">
        <is>
          <t>Non</t>
        </is>
      </c>
      <c r="I10" s="5" t="inlineStr">
        <is>
          <t>Non abordé</t>
        </is>
      </c>
      <c r="J10" s="5" t="inlineStr">
        <is>
          <t>Plus de 12 mois</t>
        </is>
      </c>
      <c r="K10" s="5" t="inlineStr">
        <is>
          <t>Non abordé</t>
        </is>
      </c>
      <c r="L10" s="5" t="inlineStr">
        <is>
          <t>Non noté</t>
        </is>
      </c>
      <c r="M10" s="5">
        <f>IF(COUNTIF(D10,"manquant")+COUNTIF(G10,"Simple*")+COUNTIF(H10,"Non")+COUNTIF(J10,"Plus*")+COUNTIF(J10,"Non abordé")+COUNTIF(K10,"&lt;&gt;Oui")=0,"Qualifié",IF(COUNTIF(D10,"manquant")+COUNTIF(G10,"Simple*")&gt;0,"Brut","Intéressé"))</f>
        <v/>
      </c>
      <c r="N10" s="5" t="inlineStr">
        <is>
          <t>Non</t>
        </is>
      </c>
      <c r="O10" s="5" t="inlineStr"/>
      <c r="P10" s="5" t="inlineStr">
        <is>
          <t>Gardé au marketing</t>
        </is>
      </c>
    </row>
    <row r="11">
      <c r="A11" s="4" t="inlineStr">
        <is>
          <t>C07</t>
        </is>
      </c>
      <c r="B11" s="4" t="inlineStr">
        <is>
          <t>04/09/2026</t>
        </is>
      </c>
      <c r="C11" s="4" t="inlineStr">
        <is>
          <t>Fanta O. (fictif)</t>
        </is>
      </c>
      <c r="D11" s="4" t="inlineStr">
        <is>
          <t>+225 07 •• •• •• 66</t>
        </is>
      </c>
      <c r="E11" s="4" t="inlineStr">
        <is>
          <t>Salon</t>
        </is>
      </c>
      <c r="F11" s="4" t="inlineStr">
        <is>
          <t>Résidences Kotibé</t>
        </is>
      </c>
      <c r="G11" s="4" t="inlineStr">
        <is>
          <t>Investissement locatif</t>
        </is>
      </c>
      <c r="H11" s="4" t="inlineStr">
        <is>
          <t>Oui, déclaré</t>
        </is>
      </c>
      <c r="I11" s="4" t="inlineStr">
        <is>
          <t>Non abordé</t>
        </is>
      </c>
      <c r="J11" s="4" t="inlineStr">
        <is>
          <t>Non abordé</t>
        </is>
      </c>
      <c r="K11" s="4" t="inlineStr">
        <is>
          <t>Oui</t>
        </is>
      </c>
      <c r="L11" s="4" t="inlineStr">
        <is>
          <t>Oui</t>
        </is>
      </c>
      <c r="M11" s="4">
        <f>IF(COUNTIF(D11,"manquant")+COUNTIF(G11,"Simple*")+COUNTIF(H11,"Non")+COUNTIF(J11,"Plus*")+COUNTIF(J11,"Non abordé")+COUNTIF(K11,"&lt;&gt;Oui")=0,"Qualifié",IF(COUNTIF(D11,"manquant")+COUNTIF(G11,"Simple*")&gt;0,"Brut","Intéressé"))</f>
        <v/>
      </c>
      <c r="N11" s="4" t="inlineStr">
        <is>
          <t>Oui</t>
        </is>
      </c>
      <c r="O11" s="4" t="n">
        <v>3</v>
      </c>
      <c r="P11" s="4" t="inlineStr">
        <is>
          <t>Rendu : budget inconnu</t>
        </is>
      </c>
    </row>
    <row r="12">
      <c r="A12" s="5" t="inlineStr">
        <is>
          <t>C08</t>
        </is>
      </c>
      <c r="B12" s="5" t="inlineStr">
        <is>
          <t>05/09/2026</t>
        </is>
      </c>
      <c r="C12" s="5" t="inlineStr">
        <is>
          <t>Didier C. (fictif)</t>
        </is>
      </c>
      <c r="D12" s="5" t="inlineStr">
        <is>
          <t>+225 07 •• •• •• 37</t>
        </is>
      </c>
      <c r="E12" s="5" t="inlineStr">
        <is>
          <t>Salon</t>
        </is>
      </c>
      <c r="F12" s="5" t="inlineStr">
        <is>
          <t>Résidences Kotibé</t>
        </is>
      </c>
      <c r="G12" s="5" t="inlineStr">
        <is>
          <t>Achat résidence principale</t>
        </is>
      </c>
      <c r="H12" s="5" t="inlineStr">
        <is>
          <t>Oui, déclaré</t>
        </is>
      </c>
      <c r="I12" s="5" t="inlineStr">
        <is>
          <t>Non abordé</t>
        </is>
      </c>
      <c r="J12" s="5" t="inlineStr">
        <is>
          <t>6 à 12 mois</t>
        </is>
      </c>
      <c r="K12" s="5" t="inlineStr">
        <is>
          <t>Oui</t>
        </is>
      </c>
      <c r="L12" s="5" t="inlineStr">
        <is>
          <t>Oui</t>
        </is>
      </c>
      <c r="M12" s="5">
        <f>IF(COUNTIF(D12,"manquant")+COUNTIF(G12,"Simple*")+COUNTIF(H12,"Non")+COUNTIF(J12,"Plus*")+COUNTIF(J12,"Non abordé")+COUNTIF(K12,"&lt;&gt;Oui")=0,"Qualifié",IF(COUNTIF(D12,"manquant")+COUNTIF(G12,"Simple*")&gt;0,"Brut","Intéressé"))</f>
        <v/>
      </c>
      <c r="N12" s="5" t="inlineStr">
        <is>
          <t>Oui</t>
        </is>
      </c>
      <c r="O12" s="5" t="n">
        <v>2</v>
      </c>
      <c r="P12" s="5" t="inlineStr">
        <is>
          <t>Réservation</t>
        </is>
      </c>
    </row>
    <row r="13">
      <c r="A13" s="4" t="inlineStr">
        <is>
          <t>C09</t>
        </is>
      </c>
      <c r="B13" s="4" t="inlineStr">
        <is>
          <t>06/09/2026</t>
        </is>
      </c>
      <c r="C13" s="4" t="inlineStr">
        <is>
          <t>Nadège A. (fictif)</t>
        </is>
      </c>
      <c r="D13" s="4" t="inlineStr">
        <is>
          <t>+225 07 •• •• •• 41</t>
        </is>
      </c>
      <c r="E13" s="4" t="inlineStr">
        <is>
          <t>Salon</t>
        </is>
      </c>
      <c r="F13" s="4" t="inlineStr">
        <is>
          <t>Jardins d’Ahoué</t>
        </is>
      </c>
      <c r="G13" s="4" t="inlineStr">
        <is>
          <t>Simple information prix</t>
        </is>
      </c>
      <c r="H13" s="4" t="inlineStr">
        <is>
          <t>Oui, déclaré</t>
        </is>
      </c>
      <c r="I13" s="4" t="inlineStr">
        <is>
          <t>Non abordé</t>
        </is>
      </c>
      <c r="J13" s="4" t="inlineStr">
        <is>
          <t>6 à 12 mois</t>
        </is>
      </c>
      <c r="K13" s="4" t="inlineStr">
        <is>
          <t>Non abordé</t>
        </is>
      </c>
      <c r="L13" s="4" t="inlineStr">
        <is>
          <t>Oui</t>
        </is>
      </c>
      <c r="M13" s="4">
        <f>IF(COUNTIF(D13,"manquant")+COUNTIF(G13,"Simple*")+COUNTIF(H13,"Non")+COUNTIF(J13,"Plus*")+COUNTIF(J13,"Non abordé")+COUNTIF(K13,"&lt;&gt;Oui")=0,"Qualifié",IF(COUNTIF(D13,"manquant")+COUNTIF(G13,"Simple*")&gt;0,"Brut","Intéressé"))</f>
        <v/>
      </c>
      <c r="N13" s="4" t="inlineStr">
        <is>
          <t>Non</t>
        </is>
      </c>
      <c r="O13" s="4" t="inlineStr"/>
      <c r="P13" s="4" t="inlineStr">
        <is>
          <t>Gardé au marketing</t>
        </is>
      </c>
    </row>
    <row r="14">
      <c r="A14" s="5" t="inlineStr">
        <is>
          <t>C10</t>
        </is>
      </c>
      <c r="B14" s="5" t="inlineStr">
        <is>
          <t>06/09/2026</t>
        </is>
      </c>
      <c r="C14" s="5" t="inlineStr">
        <is>
          <t>Moussa K. (fictif)</t>
        </is>
      </c>
      <c r="D14" s="5" t="inlineStr">
        <is>
          <t>+225 07 •• •• •• 97</t>
        </is>
      </c>
      <c r="E14" s="5" t="inlineStr">
        <is>
          <t>WhatsApp</t>
        </is>
      </c>
      <c r="F14" s="5" t="inlineStr">
        <is>
          <t>Jardins d’Ahoué</t>
        </is>
      </c>
      <c r="G14" s="5" t="inlineStr">
        <is>
          <t>Achat résidence principale</t>
        </is>
      </c>
      <c r="H14" s="5" t="inlineStr">
        <is>
          <t>Non</t>
        </is>
      </c>
      <c r="I14" s="5" t="inlineStr">
        <is>
          <t>Non abordé</t>
        </is>
      </c>
      <c r="J14" s="5" t="inlineStr">
        <is>
          <t>Plus de 12 mois</t>
        </is>
      </c>
      <c r="K14" s="5" t="inlineStr">
        <is>
          <t>Non abordé</t>
        </is>
      </c>
      <c r="L14" s="5" t="inlineStr">
        <is>
          <t>Non noté</t>
        </is>
      </c>
      <c r="M14" s="5">
        <f>IF(COUNTIF(D14,"manquant")+COUNTIF(G14,"Simple*")+COUNTIF(H14,"Non")+COUNTIF(J14,"Plus*")+COUNTIF(J14,"Non abordé")+COUNTIF(K14,"&lt;&gt;Oui")=0,"Qualifié",IF(COUNTIF(D14,"manquant")+COUNTIF(G14,"Simple*")&gt;0,"Brut","Intéressé"))</f>
        <v/>
      </c>
      <c r="N14" s="5" t="inlineStr">
        <is>
          <t>Oui</t>
        </is>
      </c>
      <c r="O14" s="5" t="n">
        <v>8</v>
      </c>
      <c r="P14" s="5" t="inlineStr">
        <is>
          <t>Rendez-vous pris</t>
        </is>
      </c>
    </row>
    <row r="15">
      <c r="A15" s="4" t="inlineStr">
        <is>
          <t>C11</t>
        </is>
      </c>
      <c r="B15" s="4" t="inlineStr">
        <is>
          <t>07/09/2026</t>
        </is>
      </c>
      <c r="C15" s="4" t="inlineStr">
        <is>
          <t>Christelle G. (fictif)</t>
        </is>
      </c>
      <c r="D15" s="4" t="inlineStr">
        <is>
          <t>+225 07 •• •• •• 75</t>
        </is>
      </c>
      <c r="E15" s="4" t="inlineStr">
        <is>
          <t>Appel</t>
        </is>
      </c>
      <c r="F15" s="4" t="inlineStr">
        <is>
          <t>Jardins d’Ahoué</t>
        </is>
      </c>
      <c r="G15" s="4" t="inlineStr">
        <is>
          <t>Achat résidence principale</t>
        </is>
      </c>
      <c r="H15" s="4" t="inlineStr">
        <is>
          <t>Oui, déclaré</t>
        </is>
      </c>
      <c r="I15" s="4" t="inlineStr">
        <is>
          <t>Non abordé</t>
        </is>
      </c>
      <c r="J15" s="4" t="inlineStr">
        <is>
          <t>Moins de 6 mois</t>
        </is>
      </c>
      <c r="K15" s="4" t="inlineStr">
        <is>
          <t>Oui</t>
        </is>
      </c>
      <c r="L15" s="4" t="inlineStr">
        <is>
          <t>Oui</t>
        </is>
      </c>
      <c r="M15" s="4">
        <f>IF(COUNTIF(D15,"manquant")+COUNTIF(G15,"Simple*")+COUNTIF(H15,"Non")+COUNTIF(J15,"Plus*")+COUNTIF(J15,"Non abordé")+COUNTIF(K15,"&lt;&gt;Oui")=0,"Qualifié",IF(COUNTIF(D15,"manquant")+COUNTIF(G15,"Simple*")&gt;0,"Brut","Intéressé"))</f>
        <v/>
      </c>
      <c r="N15" s="4" t="inlineStr">
        <is>
          <t>Oui</t>
        </is>
      </c>
      <c r="O15" s="4" t="n">
        <v>8</v>
      </c>
      <c r="P15" s="4" t="inlineStr">
        <is>
          <t>Réservation</t>
        </is>
      </c>
    </row>
    <row r="16">
      <c r="A16" s="5" t="inlineStr">
        <is>
          <t>C12</t>
        </is>
      </c>
      <c r="B16" s="5" t="inlineStr">
        <is>
          <t>07/09/2026</t>
        </is>
      </c>
      <c r="C16" s="5" t="inlineStr">
        <is>
          <t>Ibrahim T. (fictif)</t>
        </is>
      </c>
      <c r="D16" s="5" t="inlineStr">
        <is>
          <t>+225 07 •• •• •• 16</t>
        </is>
      </c>
      <c r="E16" s="5" t="inlineStr">
        <is>
          <t>Formulaire site</t>
        </is>
      </c>
      <c r="F16" s="5" t="inlineStr">
        <is>
          <t>Jardins d’Ahoué</t>
        </is>
      </c>
      <c r="G16" s="5" t="inlineStr">
        <is>
          <t>Simple information prix</t>
        </is>
      </c>
      <c r="H16" s="5" t="inlineStr">
        <is>
          <t>Non</t>
        </is>
      </c>
      <c r="I16" s="5" t="inlineStr">
        <is>
          <t>Non abordé</t>
        </is>
      </c>
      <c r="J16" s="5" t="inlineStr">
        <is>
          <t>6 à 12 mois</t>
        </is>
      </c>
      <c r="K16" s="5" t="inlineStr">
        <is>
          <t>Non (conjoint)</t>
        </is>
      </c>
      <c r="L16" s="5" t="inlineStr">
        <is>
          <t>Oui</t>
        </is>
      </c>
      <c r="M16" s="5">
        <f>IF(COUNTIF(D16,"manquant")+COUNTIF(G16,"Simple*")+COUNTIF(H16,"Non")+COUNTIF(J16,"Plus*")+COUNTIF(J16,"Non abordé")+COUNTIF(K16,"&lt;&gt;Oui")=0,"Qualifié",IF(COUNTIF(D16,"manquant")+COUNTIF(G16,"Simple*")&gt;0,"Brut","Intéressé"))</f>
        <v/>
      </c>
      <c r="N16" s="5" t="inlineStr">
        <is>
          <t>Non</t>
        </is>
      </c>
      <c r="O16" s="5" t="inlineStr"/>
      <c r="P16" s="5" t="inlineStr">
        <is>
          <t>Gardé au marketing</t>
        </is>
      </c>
    </row>
    <row r="17">
      <c r="A17" s="4" t="inlineStr">
        <is>
          <t>C13</t>
        </is>
      </c>
      <c r="B17" s="4" t="inlineStr">
        <is>
          <t>08/09/2026</t>
        </is>
      </c>
      <c r="C17" s="4" t="inlineStr">
        <is>
          <t>Josiane T. (fictif)</t>
        </is>
      </c>
      <c r="D17" s="4" t="inlineStr">
        <is>
          <t>manquant</t>
        </is>
      </c>
      <c r="E17" s="4" t="inlineStr">
        <is>
          <t>Formulaire site</t>
        </is>
      </c>
      <c r="F17" s="4" t="inlineStr">
        <is>
          <t>Résidences Kotibé</t>
        </is>
      </c>
      <c r="G17" s="4" t="inlineStr">
        <is>
          <t>Achat résidence principale</t>
        </is>
      </c>
      <c r="H17" s="4" t="inlineStr">
        <is>
          <t>Non</t>
        </is>
      </c>
      <c r="I17" s="4" t="inlineStr">
        <is>
          <t>Fonds propres</t>
        </is>
      </c>
      <c r="J17" s="4" t="inlineStr">
        <is>
          <t>6 à 12 mois</t>
        </is>
      </c>
      <c r="K17" s="4" t="inlineStr">
        <is>
          <t>Oui</t>
        </is>
      </c>
      <c r="L17" s="4" t="inlineStr">
        <is>
          <t>Oui</t>
        </is>
      </c>
      <c r="M17" s="4">
        <f>IF(COUNTIF(D17,"manquant")+COUNTIF(G17,"Simple*")+COUNTIF(H17,"Non")+COUNTIF(J17,"Plus*")+COUNTIF(J17,"Non abordé")+COUNTIF(K17,"&lt;&gt;Oui")=0,"Qualifié",IF(COUNTIF(D17,"manquant")+COUNTIF(G17,"Simple*")&gt;0,"Brut","Intéressé"))</f>
        <v/>
      </c>
      <c r="N17" s="4" t="inlineStr">
        <is>
          <t>Non</t>
        </is>
      </c>
      <c r="O17" s="4" t="inlineStr"/>
      <c r="P17" s="4" t="inlineStr">
        <is>
          <t>Gardé au marketing</t>
        </is>
      </c>
    </row>
    <row r="18">
      <c r="A18" s="5" t="inlineStr">
        <is>
          <t>C14</t>
        </is>
      </c>
      <c r="B18" s="5" t="inlineStr">
        <is>
          <t>09/09/2026</t>
        </is>
      </c>
      <c r="C18" s="5" t="inlineStr">
        <is>
          <t>Kouamé A. (fictif)</t>
        </is>
      </c>
      <c r="D18" s="5" t="inlineStr">
        <is>
          <t>+225 07 •• •• •• 27</t>
        </is>
      </c>
      <c r="E18" s="5" t="inlineStr">
        <is>
          <t>WhatsApp</t>
        </is>
      </c>
      <c r="F18" s="5" t="inlineStr">
        <is>
          <t>Résidences Kotibé</t>
        </is>
      </c>
      <c r="G18" s="5" t="inlineStr">
        <is>
          <t>Achat résidence principale</t>
        </is>
      </c>
      <c r="H18" s="5" t="inlineStr">
        <is>
          <t>Oui, déclaré</t>
        </is>
      </c>
      <c r="I18" s="5" t="inlineStr">
        <is>
          <t>Non abordé</t>
        </is>
      </c>
      <c r="J18" s="5" t="inlineStr">
        <is>
          <t>Moins de 6 mois</t>
        </is>
      </c>
      <c r="K18" s="5" t="inlineStr">
        <is>
          <t>Oui</t>
        </is>
      </c>
      <c r="L18" s="5" t="inlineStr">
        <is>
          <t>Oui</t>
        </is>
      </c>
      <c r="M18" s="5">
        <f>IF(COUNTIF(D18,"manquant")+COUNTIF(G18,"Simple*")+COUNTIF(H18,"Non")+COUNTIF(J18,"Plus*")+COUNTIF(J18,"Non abordé")+COUNTIF(K18,"&lt;&gt;Oui")=0,"Qualifié",IF(COUNTIF(D18,"manquant")+COUNTIF(G18,"Simple*")&gt;0,"Brut","Intéressé"))</f>
        <v/>
      </c>
      <c r="N18" s="5" t="inlineStr">
        <is>
          <t>Oui</t>
        </is>
      </c>
      <c r="O18" s="5" t="n">
        <v>12</v>
      </c>
      <c r="P18" s="5" t="inlineStr">
        <is>
          <t>Réservation</t>
        </is>
      </c>
    </row>
    <row r="19">
      <c r="A19" s="4" t="inlineStr">
        <is>
          <t>C15</t>
        </is>
      </c>
      <c r="B19" s="4" t="inlineStr">
        <is>
          <t>09/09/2026</t>
        </is>
      </c>
      <c r="C19" s="4" t="inlineStr">
        <is>
          <t>Salimata G. (fictif)</t>
        </is>
      </c>
      <c r="D19" s="4" t="inlineStr">
        <is>
          <t>+225 07 •• •• •• 61</t>
        </is>
      </c>
      <c r="E19" s="4" t="inlineStr">
        <is>
          <t>Appel</t>
        </is>
      </c>
      <c r="F19" s="4" t="inlineStr">
        <is>
          <t>Jardins d’Ahoué</t>
        </is>
      </c>
      <c r="G19" s="4" t="inlineStr">
        <is>
          <t>Achat résidence principale</t>
        </is>
      </c>
      <c r="H19" s="4" t="inlineStr">
        <is>
          <t>Non</t>
        </is>
      </c>
      <c r="I19" s="4" t="inlineStr">
        <is>
          <t>Fonds propres</t>
        </is>
      </c>
      <c r="J19" s="4" t="inlineStr">
        <is>
          <t>Moins de 6 mois</t>
        </is>
      </c>
      <c r="K19" s="4" t="inlineStr">
        <is>
          <t>Non abordé</t>
        </is>
      </c>
      <c r="L19" s="4" t="inlineStr">
        <is>
          <t>Oui</t>
        </is>
      </c>
      <c r="M19" s="4">
        <f>IF(COUNTIF(D19,"manquant")+COUNTIF(G19,"Simple*")+COUNTIF(H19,"Non")+COUNTIF(J19,"Plus*")+COUNTIF(J19,"Non abordé")+COUNTIF(K19,"&lt;&gt;Oui")=0,"Qualifié",IF(COUNTIF(D19,"manquant")+COUNTIF(G19,"Simple*")&gt;0,"Brut","Intéressé"))</f>
        <v/>
      </c>
      <c r="N19" s="4" t="inlineStr">
        <is>
          <t>Non</t>
        </is>
      </c>
      <c r="O19" s="4" t="inlineStr"/>
      <c r="P19" s="4" t="inlineStr">
        <is>
          <t>Gardé au marketing</t>
        </is>
      </c>
    </row>
    <row r="20">
      <c r="A20" s="5" t="inlineStr">
        <is>
          <t>C16</t>
        </is>
      </c>
      <c r="B20" s="5" t="inlineStr">
        <is>
          <t>10/09/2026</t>
        </is>
      </c>
      <c r="C20" s="5" t="inlineStr">
        <is>
          <t>Hervé D. (fictif)</t>
        </is>
      </c>
      <c r="D20" s="5" t="inlineStr">
        <is>
          <t>+225 07 •• •• •• 49</t>
        </is>
      </c>
      <c r="E20" s="5" t="inlineStr">
        <is>
          <t>WhatsApp</t>
        </is>
      </c>
      <c r="F20" s="5" t="inlineStr">
        <is>
          <t>Non précisé</t>
        </is>
      </c>
      <c r="G20" s="5" t="inlineStr">
        <is>
          <t>Achat résidence principale</t>
        </is>
      </c>
      <c r="H20" s="5" t="inlineStr">
        <is>
          <t>Oui, déclaré</t>
        </is>
      </c>
      <c r="I20" s="5" t="inlineStr">
        <is>
          <t>Prêt bancaire en cours</t>
        </is>
      </c>
      <c r="J20" s="5" t="inlineStr">
        <is>
          <t>Moins de 6 mois</t>
        </is>
      </c>
      <c r="K20" s="5" t="inlineStr">
        <is>
          <t>Non (conjoint)</t>
        </is>
      </c>
      <c r="L20" s="5" t="inlineStr">
        <is>
          <t>Oui</t>
        </is>
      </c>
      <c r="M20" s="5">
        <f>IF(COUNTIF(D20,"manquant")+COUNTIF(G20,"Simple*")+COUNTIF(H20,"Non")+COUNTIF(J20,"Plus*")+COUNTIF(J20,"Non abordé")+COUNTIF(K20,"&lt;&gt;Oui")=0,"Qualifié",IF(COUNTIF(D20,"manquant")+COUNTIF(G20,"Simple*")&gt;0,"Brut","Intéressé"))</f>
        <v/>
      </c>
      <c r="N20" s="5" t="inlineStr">
        <is>
          <t>Oui</t>
        </is>
      </c>
      <c r="O20" s="5" t="n">
        <v>1</v>
      </c>
      <c r="P20" s="5" t="inlineStr">
        <is>
          <t>Rendez-vous pris</t>
        </is>
      </c>
    </row>
    <row r="21">
      <c r="A21" s="4" t="inlineStr">
        <is>
          <t>C17</t>
        </is>
      </c>
      <c r="B21" s="4" t="inlineStr">
        <is>
          <t>11/09/2026</t>
        </is>
      </c>
      <c r="C21" s="4" t="inlineStr">
        <is>
          <t>Estelle K. (fictif)</t>
        </is>
      </c>
      <c r="D21" s="4" t="inlineStr">
        <is>
          <t>+225 07 •• •• •• 53</t>
        </is>
      </c>
      <c r="E21" s="4" t="inlineStr">
        <is>
          <t>Appel</t>
        </is>
      </c>
      <c r="F21" s="4" t="inlineStr">
        <is>
          <t>Jardins d’Ahoué</t>
        </is>
      </c>
      <c r="G21" s="4" t="inlineStr">
        <is>
          <t>Achat résidence principale</t>
        </is>
      </c>
      <c r="H21" s="4" t="inlineStr">
        <is>
          <t>Oui, déclaré</t>
        </is>
      </c>
      <c r="I21" s="4" t="inlineStr">
        <is>
          <t>Non abordé</t>
        </is>
      </c>
      <c r="J21" s="4" t="inlineStr">
        <is>
          <t>Non abordé</t>
        </is>
      </c>
      <c r="K21" s="4" t="inlineStr">
        <is>
          <t>Non (conjoint)</t>
        </is>
      </c>
      <c r="L21" s="4" t="inlineStr">
        <is>
          <t>Non noté</t>
        </is>
      </c>
      <c r="M21" s="4">
        <f>IF(COUNTIF(D21,"manquant")+COUNTIF(G21,"Simple*")+COUNTIF(H21,"Non")+COUNTIF(J21,"Plus*")+COUNTIF(J21,"Non abordé")+COUNTIF(K21,"&lt;&gt;Oui")=0,"Qualifié",IF(COUNTIF(D21,"manquant")+COUNTIF(G21,"Simple*")&gt;0,"Brut","Intéressé"))</f>
        <v/>
      </c>
      <c r="N21" s="4" t="inlineStr">
        <is>
          <t>Oui</t>
        </is>
      </c>
      <c r="O21" s="4" t="n">
        <v>12</v>
      </c>
      <c r="P21" s="4" t="inlineStr">
        <is>
          <t>Rendez-vous pris</t>
        </is>
      </c>
    </row>
    <row r="22">
      <c r="A22" s="5" t="inlineStr">
        <is>
          <t>C18</t>
        </is>
      </c>
      <c r="B22" s="5" t="inlineStr">
        <is>
          <t>11/09/2026</t>
        </is>
      </c>
      <c r="C22" s="5" t="inlineStr">
        <is>
          <t>Bakary O. (fictif)</t>
        </is>
      </c>
      <c r="D22" s="5" t="inlineStr">
        <is>
          <t>+225 07 •• •• •• 41</t>
        </is>
      </c>
      <c r="E22" s="5" t="inlineStr">
        <is>
          <t>WhatsApp</t>
        </is>
      </c>
      <c r="F22" s="5" t="inlineStr">
        <is>
          <t>Jardins d’Ahoué</t>
        </is>
      </c>
      <c r="G22" s="5" t="inlineStr">
        <is>
          <t>Achat résidence principale</t>
        </is>
      </c>
      <c r="H22" s="5" t="inlineStr">
        <is>
          <t>Oui, déclaré</t>
        </is>
      </c>
      <c r="I22" s="5" t="inlineStr">
        <is>
          <t>Non abordé</t>
        </is>
      </c>
      <c r="J22" s="5" t="inlineStr">
        <is>
          <t>6 à 12 mois</t>
        </is>
      </c>
      <c r="K22" s="5" t="inlineStr">
        <is>
          <t>Oui</t>
        </is>
      </c>
      <c r="L22" s="5" t="inlineStr">
        <is>
          <t>Non noté</t>
        </is>
      </c>
      <c r="M22" s="5">
        <f>IF(COUNTIF(D22,"manquant")+COUNTIF(G22,"Simple*")+COUNTIF(H22,"Non")+COUNTIF(J22,"Plus*")+COUNTIF(J22,"Non abordé")+COUNTIF(K22,"&lt;&gt;Oui")=0,"Qualifié",IF(COUNTIF(D22,"manquant")+COUNTIF(G22,"Simple*")&gt;0,"Brut","Intéressé"))</f>
        <v/>
      </c>
      <c r="N22" s="5" t="inlineStr">
        <is>
          <t>Oui</t>
        </is>
      </c>
      <c r="O22" s="5" t="n">
        <v>1</v>
      </c>
      <c r="P22" s="5" t="inlineStr">
        <is>
          <t>Réservation</t>
        </is>
      </c>
    </row>
    <row r="23">
      <c r="A23" s="4" t="inlineStr">
        <is>
          <t>C19</t>
        </is>
      </c>
      <c r="B23" s="4" t="inlineStr">
        <is>
          <t>12/09/2026</t>
        </is>
      </c>
      <c r="C23" s="4" t="inlineStr">
        <is>
          <t>Prisca B. (fictif)</t>
        </is>
      </c>
      <c r="D23" s="4" t="inlineStr">
        <is>
          <t>+225 07 •• •• •• 35</t>
        </is>
      </c>
      <c r="E23" s="4" t="inlineStr">
        <is>
          <t>Appel</t>
        </is>
      </c>
      <c r="F23" s="4" t="inlineStr">
        <is>
          <t>Non précisé</t>
        </is>
      </c>
      <c r="G23" s="4" t="inlineStr">
        <is>
          <t>Achat résidence principale</t>
        </is>
      </c>
      <c r="H23" s="4" t="inlineStr">
        <is>
          <t>Oui, déclaré</t>
        </is>
      </c>
      <c r="I23" s="4" t="inlineStr">
        <is>
          <t>Fonds propres</t>
        </is>
      </c>
      <c r="J23" s="4" t="inlineStr">
        <is>
          <t>Moins de 6 mois</t>
        </is>
      </c>
      <c r="K23" s="4" t="inlineStr">
        <is>
          <t>Non (conjoint)</t>
        </is>
      </c>
      <c r="L23" s="4" t="inlineStr">
        <is>
          <t>Oui</t>
        </is>
      </c>
      <c r="M23" s="4">
        <f>IF(COUNTIF(D23,"manquant")+COUNTIF(G23,"Simple*")+COUNTIF(H23,"Non")+COUNTIF(J23,"Plus*")+COUNTIF(J23,"Non abordé")+COUNTIF(K23,"&lt;&gt;Oui")=0,"Qualifié",IF(COUNTIF(D23,"manquant")+COUNTIF(G23,"Simple*")&gt;0,"Brut","Intéressé"))</f>
        <v/>
      </c>
      <c r="N23" s="4" t="inlineStr">
        <is>
          <t>Oui</t>
        </is>
      </c>
      <c r="O23" s="4" t="n">
        <v>1</v>
      </c>
      <c r="P23" s="4" t="inlineStr">
        <is>
          <t>Rendu : simple curieux</t>
        </is>
      </c>
    </row>
    <row r="24">
      <c r="A24" s="5" t="inlineStr">
        <is>
          <t>C20</t>
        </is>
      </c>
      <c r="B24" s="5" t="inlineStr">
        <is>
          <t>13/09/2026</t>
        </is>
      </c>
      <c r="C24" s="5" t="inlineStr">
        <is>
          <t>Arsène O. (fictif)</t>
        </is>
      </c>
      <c r="D24" s="5" t="inlineStr">
        <is>
          <t>+225 07 •• •• •• 35</t>
        </is>
      </c>
      <c r="E24" s="5" t="inlineStr">
        <is>
          <t>WhatsApp</t>
        </is>
      </c>
      <c r="F24" s="5" t="inlineStr">
        <is>
          <t>Résidences Kotibé</t>
        </is>
      </c>
      <c r="G24" s="5" t="inlineStr">
        <is>
          <t>Investissement locatif</t>
        </is>
      </c>
      <c r="H24" s="5" t="inlineStr">
        <is>
          <t>Non</t>
        </is>
      </c>
      <c r="I24" s="5" t="inlineStr">
        <is>
          <t>Prêt bancaire en cours</t>
        </is>
      </c>
      <c r="J24" s="5" t="inlineStr">
        <is>
          <t>Plus de 12 mois</t>
        </is>
      </c>
      <c r="K24" s="5" t="inlineStr">
        <is>
          <t>Oui</t>
        </is>
      </c>
      <c r="L24" s="5" t="inlineStr">
        <is>
          <t>Oui</t>
        </is>
      </c>
      <c r="M24" s="5">
        <f>IF(COUNTIF(D24,"manquant")+COUNTIF(G24,"Simple*")+COUNTIF(H24,"Non")+COUNTIF(J24,"Plus*")+COUNTIF(J24,"Non abordé")+COUNTIF(K24,"&lt;&gt;Oui")=0,"Qualifié",IF(COUNTIF(D24,"manquant")+COUNTIF(G24,"Simple*")&gt;0,"Brut","Intéressé"))</f>
        <v/>
      </c>
      <c r="N24" s="5" t="inlineStr">
        <is>
          <t>Oui</t>
        </is>
      </c>
      <c r="O24" s="5" t="n">
        <v>12</v>
      </c>
      <c r="P24" s="5" t="inlineStr">
        <is>
          <t>Rendu : budget inconnu</t>
        </is>
      </c>
    </row>
    <row r="25">
      <c r="A25" s="4" t="inlineStr">
        <is>
          <t>C21</t>
        </is>
      </c>
      <c r="B25" s="4" t="inlineStr">
        <is>
          <t>13/09/2026</t>
        </is>
      </c>
      <c r="C25" s="4" t="inlineStr">
        <is>
          <t>Rokia O. (fictif)</t>
        </is>
      </c>
      <c r="D25" s="4" t="inlineStr">
        <is>
          <t>+225 07 •• •• •• 20</t>
        </is>
      </c>
      <c r="E25" s="4" t="inlineStr">
        <is>
          <t>WhatsApp</t>
        </is>
      </c>
      <c r="F25" s="4" t="inlineStr">
        <is>
          <t>Résidences Kotibé</t>
        </is>
      </c>
      <c r="G25" s="4" t="inlineStr">
        <is>
          <t>Investissement locatif</t>
        </is>
      </c>
      <c r="H25" s="4" t="inlineStr">
        <is>
          <t>Oui, déclaré</t>
        </is>
      </c>
      <c r="I25" s="4" t="inlineStr">
        <is>
          <t>Non abordé</t>
        </is>
      </c>
      <c r="J25" s="4" t="inlineStr">
        <is>
          <t>Moins de 6 mois</t>
        </is>
      </c>
      <c r="K25" s="4" t="inlineStr">
        <is>
          <t>Non abordé</t>
        </is>
      </c>
      <c r="L25" s="4" t="inlineStr">
        <is>
          <t>Non noté</t>
        </is>
      </c>
      <c r="M25" s="4">
        <f>IF(COUNTIF(D25,"manquant")+COUNTIF(G25,"Simple*")+COUNTIF(H25,"Non")+COUNTIF(J25,"Plus*")+COUNTIF(J25,"Non abordé")+COUNTIF(K25,"&lt;&gt;Oui")=0,"Qualifié",IF(COUNTIF(D25,"manquant")+COUNTIF(G25,"Simple*")&gt;0,"Brut","Intéressé"))</f>
        <v/>
      </c>
      <c r="N25" s="4" t="inlineStr">
        <is>
          <t>Oui</t>
        </is>
      </c>
      <c r="O25" s="4" t="n">
        <v>2</v>
      </c>
      <c r="P25" s="4" t="inlineStr">
        <is>
          <t>Rendu : budget inconnu</t>
        </is>
      </c>
    </row>
    <row r="26">
      <c r="A26" s="5" t="inlineStr">
        <is>
          <t>C22</t>
        </is>
      </c>
      <c r="B26" s="5" t="inlineStr">
        <is>
          <t>14/09/2026</t>
        </is>
      </c>
      <c r="C26" s="5" t="inlineStr">
        <is>
          <t>Franck Y. (fictif)</t>
        </is>
      </c>
      <c r="D26" s="5" t="inlineStr">
        <is>
          <t>+225 07 •• •• •• 51</t>
        </is>
      </c>
      <c r="E26" s="5" t="inlineStr">
        <is>
          <t>Formulaire site</t>
        </is>
      </c>
      <c r="F26" s="5" t="inlineStr">
        <is>
          <t>Résidences Kotibé</t>
        </is>
      </c>
      <c r="G26" s="5" t="inlineStr">
        <is>
          <t>Achat résidence principale</t>
        </is>
      </c>
      <c r="H26" s="5" t="inlineStr">
        <is>
          <t>Oui, déclaré</t>
        </is>
      </c>
      <c r="I26" s="5" t="inlineStr">
        <is>
          <t>Fonds propres</t>
        </is>
      </c>
      <c r="J26" s="5" t="inlineStr">
        <is>
          <t>Moins de 6 mois</t>
        </is>
      </c>
      <c r="K26" s="5" t="inlineStr">
        <is>
          <t>Oui</t>
        </is>
      </c>
      <c r="L26" s="5" t="inlineStr">
        <is>
          <t>Oui</t>
        </is>
      </c>
      <c r="M26" s="5">
        <f>IF(COUNTIF(D26,"manquant")+COUNTIF(G26,"Simple*")+COUNTIF(H26,"Non")+COUNTIF(J26,"Plus*")+COUNTIF(J26,"Non abordé")+COUNTIF(K26,"&lt;&gt;Oui")=0,"Qualifié",IF(COUNTIF(D26,"manquant")+COUNTIF(G26,"Simple*")&gt;0,"Brut","Intéressé"))</f>
        <v/>
      </c>
      <c r="N26" s="5" t="inlineStr">
        <is>
          <t>Oui</t>
        </is>
      </c>
      <c r="O26" s="5" t="inlineStr">
        <is>
          <t>non rappelé</t>
        </is>
      </c>
      <c r="P26" s="5" t="inlineStr">
        <is>
          <t>Jamais rappelé</t>
        </is>
      </c>
    </row>
    <row r="27">
      <c r="A27" s="4" t="inlineStr">
        <is>
          <t>C23</t>
        </is>
      </c>
      <c r="B27" s="4" t="inlineStr">
        <is>
          <t>14/09/2026</t>
        </is>
      </c>
      <c r="C27" s="4" t="inlineStr">
        <is>
          <t>Mireille K. (fictif)</t>
        </is>
      </c>
      <c r="D27" s="4" t="inlineStr">
        <is>
          <t>+225 07 •• •• •• 16</t>
        </is>
      </c>
      <c r="E27" s="4" t="inlineStr">
        <is>
          <t>Formulaire site</t>
        </is>
      </c>
      <c r="F27" s="4" t="inlineStr">
        <is>
          <t>Non précisé</t>
        </is>
      </c>
      <c r="G27" s="4" t="inlineStr">
        <is>
          <t>Achat résidence principale</t>
        </is>
      </c>
      <c r="H27" s="4" t="inlineStr">
        <is>
          <t>Oui, déclaré</t>
        </is>
      </c>
      <c r="I27" s="4" t="inlineStr">
        <is>
          <t>Non abordé</t>
        </is>
      </c>
      <c r="J27" s="4" t="inlineStr">
        <is>
          <t>Plus de 12 mois</t>
        </is>
      </c>
      <c r="K27" s="4" t="inlineStr">
        <is>
          <t>Non (conjoint)</t>
        </is>
      </c>
      <c r="L27" s="4" t="inlineStr">
        <is>
          <t>Oui</t>
        </is>
      </c>
      <c r="M27" s="4">
        <f>IF(COUNTIF(D27,"manquant")+COUNTIF(G27,"Simple*")+COUNTIF(H27,"Non")+COUNTIF(J27,"Plus*")+COUNTIF(J27,"Non abordé")+COUNTIF(K27,"&lt;&gt;Oui")=0,"Qualifié",IF(COUNTIF(D27,"manquant")+COUNTIF(G27,"Simple*")&gt;0,"Brut","Intéressé"))</f>
        <v/>
      </c>
      <c r="N27" s="4" t="inlineStr">
        <is>
          <t>Non</t>
        </is>
      </c>
      <c r="O27" s="4" t="inlineStr"/>
      <c r="P27" s="4" t="inlineStr">
        <is>
          <t>Gardé au marketing</t>
        </is>
      </c>
    </row>
    <row r="28">
      <c r="A28" s="5" t="inlineStr">
        <is>
          <t>C24</t>
        </is>
      </c>
      <c r="B28" s="5" t="inlineStr">
        <is>
          <t>15/09/2026</t>
        </is>
      </c>
      <c r="C28" s="5" t="inlineStr">
        <is>
          <t>Lassina N. (fictif)</t>
        </is>
      </c>
      <c r="D28" s="5" t="inlineStr">
        <is>
          <t>+225 07 •• •• •• 51</t>
        </is>
      </c>
      <c r="E28" s="5" t="inlineStr">
        <is>
          <t>WhatsApp</t>
        </is>
      </c>
      <c r="F28" s="5" t="inlineStr">
        <is>
          <t>Non précisé</t>
        </is>
      </c>
      <c r="G28" s="5" t="inlineStr">
        <is>
          <t>Achat résidence principale</t>
        </is>
      </c>
      <c r="H28" s="5" t="inlineStr">
        <is>
          <t>Non</t>
        </is>
      </c>
      <c r="I28" s="5" t="inlineStr">
        <is>
          <t>Prêt bancaire en cours</t>
        </is>
      </c>
      <c r="J28" s="5" t="inlineStr">
        <is>
          <t>Non abordé</t>
        </is>
      </c>
      <c r="K28" s="5" t="inlineStr">
        <is>
          <t>Oui</t>
        </is>
      </c>
      <c r="L28" s="5" t="inlineStr">
        <is>
          <t>Oui</t>
        </is>
      </c>
      <c r="M28" s="5">
        <f>IF(COUNTIF(D28,"manquant")+COUNTIF(G28,"Simple*")+COUNTIF(H28,"Non")+COUNTIF(J28,"Plus*")+COUNTIF(J28,"Non abordé")+COUNTIF(K28,"&lt;&gt;Oui")=0,"Qualifié",IF(COUNTIF(D28,"manquant")+COUNTIF(G28,"Simple*")&gt;0,"Brut","Intéressé"))</f>
        <v/>
      </c>
      <c r="N28" s="5" t="inlineStr">
        <is>
          <t>Oui</t>
        </is>
      </c>
      <c r="O28" s="5" t="n">
        <v>2</v>
      </c>
      <c r="P28" s="5" t="inlineStr">
        <is>
          <t>Rendu : simple curieux</t>
        </is>
      </c>
    </row>
    <row r="29">
      <c r="A29" s="4" t="inlineStr">
        <is>
          <t>C25</t>
        </is>
      </c>
      <c r="B29" s="4" t="inlineStr">
        <is>
          <t>16/09/2026</t>
        </is>
      </c>
      <c r="C29" s="4" t="inlineStr">
        <is>
          <t>Carine T. (fictif)</t>
        </is>
      </c>
      <c r="D29" s="4" t="inlineStr">
        <is>
          <t>+225 07 •• •• •• 84</t>
        </is>
      </c>
      <c r="E29" s="4" t="inlineStr">
        <is>
          <t>Formulaire site</t>
        </is>
      </c>
      <c r="F29" s="4" t="inlineStr">
        <is>
          <t>Jardins d’Ahoué</t>
        </is>
      </c>
      <c r="G29" s="4" t="inlineStr">
        <is>
          <t>Achat résidence principale</t>
        </is>
      </c>
      <c r="H29" s="4" t="inlineStr">
        <is>
          <t>Non</t>
        </is>
      </c>
      <c r="I29" s="4" t="inlineStr">
        <is>
          <t>Fonds propres</t>
        </is>
      </c>
      <c r="J29" s="4" t="inlineStr">
        <is>
          <t>Plus de 12 mois</t>
        </is>
      </c>
      <c r="K29" s="4" t="inlineStr">
        <is>
          <t>Oui</t>
        </is>
      </c>
      <c r="L29" s="4" t="inlineStr">
        <is>
          <t>Oui</t>
        </is>
      </c>
      <c r="M29" s="4">
        <f>IF(COUNTIF(D29,"manquant")+COUNTIF(G29,"Simple*")+COUNTIF(H29,"Non")+COUNTIF(J29,"Plus*")+COUNTIF(J29,"Non abordé")+COUNTIF(K29,"&lt;&gt;Oui")=0,"Qualifié",IF(COUNTIF(D29,"manquant")+COUNTIF(G29,"Simple*")&gt;0,"Brut","Intéressé"))</f>
        <v/>
      </c>
      <c r="N29" s="4" t="inlineStr">
        <is>
          <t>Oui</t>
        </is>
      </c>
      <c r="O29" s="4" t="inlineStr">
        <is>
          <t>non rappelé</t>
        </is>
      </c>
      <c r="P29" s="4" t="inlineStr">
        <is>
          <t>Jamais rappelé</t>
        </is>
      </c>
    </row>
    <row r="30">
      <c r="A30" s="5" t="inlineStr">
        <is>
          <t>C26</t>
        </is>
      </c>
      <c r="B30" s="5" t="inlineStr">
        <is>
          <t>16/09/2026</t>
        </is>
      </c>
      <c r="C30" s="5" t="inlineStr">
        <is>
          <t>Alain B. (fictif)</t>
        </is>
      </c>
      <c r="D30" s="5" t="inlineStr">
        <is>
          <t>+225 07 •• •• •• 40</t>
        </is>
      </c>
      <c r="E30" s="5" t="inlineStr">
        <is>
          <t>Appel</t>
        </is>
      </c>
      <c r="F30" s="5" t="inlineStr">
        <is>
          <t>Non précisé</t>
        </is>
      </c>
      <c r="G30" s="5" t="inlineStr">
        <is>
          <t>Achat résidence principale</t>
        </is>
      </c>
      <c r="H30" s="5" t="inlineStr">
        <is>
          <t>Non</t>
        </is>
      </c>
      <c r="I30" s="5" t="inlineStr">
        <is>
          <t>Non abordé</t>
        </is>
      </c>
      <c r="J30" s="5" t="inlineStr">
        <is>
          <t>Moins de 6 mois</t>
        </is>
      </c>
      <c r="K30" s="5" t="inlineStr">
        <is>
          <t>Non abordé</t>
        </is>
      </c>
      <c r="L30" s="5" t="inlineStr">
        <is>
          <t>Oui</t>
        </is>
      </c>
      <c r="M30" s="5">
        <f>IF(COUNTIF(D30,"manquant")+COUNTIF(G30,"Simple*")+COUNTIF(H30,"Non")+COUNTIF(J30,"Plus*")+COUNTIF(J30,"Non abordé")+COUNTIF(K30,"&lt;&gt;Oui")=0,"Qualifié",IF(COUNTIF(D30,"manquant")+COUNTIF(G30,"Simple*")&gt;0,"Brut","Intéressé"))</f>
        <v/>
      </c>
      <c r="N30" s="5" t="inlineStr">
        <is>
          <t>Non</t>
        </is>
      </c>
      <c r="O30" s="5" t="inlineStr"/>
      <c r="P30" s="5" t="inlineStr">
        <is>
          <t>Gardé au marketing</t>
        </is>
      </c>
    </row>
    <row r="31">
      <c r="A31" s="4" t="inlineStr">
        <is>
          <t>C27</t>
        </is>
      </c>
      <c r="B31" s="4" t="inlineStr">
        <is>
          <t>17/09/2026</t>
        </is>
      </c>
      <c r="C31" s="4" t="inlineStr">
        <is>
          <t>Djénéba G. (fictif)</t>
        </is>
      </c>
      <c r="D31" s="4" t="inlineStr">
        <is>
          <t>+225 07 •• •• •• 35</t>
        </is>
      </c>
      <c r="E31" s="4" t="inlineStr">
        <is>
          <t>Salon</t>
        </is>
      </c>
      <c r="F31" s="4" t="inlineStr">
        <is>
          <t>Non précisé</t>
        </is>
      </c>
      <c r="G31" s="4" t="inlineStr">
        <is>
          <t>Achat résidence principale</t>
        </is>
      </c>
      <c r="H31" s="4" t="inlineStr">
        <is>
          <t>Oui, déclaré</t>
        </is>
      </c>
      <c r="I31" s="4" t="inlineStr">
        <is>
          <t>Fonds propres</t>
        </is>
      </c>
      <c r="J31" s="4" t="inlineStr">
        <is>
          <t>Moins de 6 mois</t>
        </is>
      </c>
      <c r="K31" s="4" t="inlineStr">
        <is>
          <t>Oui</t>
        </is>
      </c>
      <c r="L31" s="4" t="inlineStr">
        <is>
          <t>Oui</t>
        </is>
      </c>
      <c r="M31" s="4">
        <f>IF(COUNTIF(D31,"manquant")+COUNTIF(G31,"Simple*")+COUNTIF(H31,"Non")+COUNTIF(J31,"Plus*")+COUNTIF(J31,"Non abordé")+COUNTIF(K31,"&lt;&gt;Oui")=0,"Qualifié",IF(COUNTIF(D31,"manquant")+COUNTIF(G31,"Simple*")&gt;0,"Brut","Intéressé"))</f>
        <v/>
      </c>
      <c r="N31" s="4" t="inlineStr">
        <is>
          <t>Oui</t>
        </is>
      </c>
      <c r="O31" s="4" t="n">
        <v>1</v>
      </c>
      <c r="P31" s="4" t="inlineStr">
        <is>
          <t>Visite faite</t>
        </is>
      </c>
    </row>
    <row r="32">
      <c r="A32" s="5" t="inlineStr">
        <is>
          <t>C28</t>
        </is>
      </c>
      <c r="B32" s="5" t="inlineStr">
        <is>
          <t>18/09/2026</t>
        </is>
      </c>
      <c r="C32" s="5" t="inlineStr">
        <is>
          <t>Patrick B. (fictif)</t>
        </is>
      </c>
      <c r="D32" s="5" t="inlineStr">
        <is>
          <t>+225 07 •• •• •• 12</t>
        </is>
      </c>
      <c r="E32" s="5" t="inlineStr">
        <is>
          <t>WhatsApp</t>
        </is>
      </c>
      <c r="F32" s="5" t="inlineStr">
        <is>
          <t>Non précisé</t>
        </is>
      </c>
      <c r="G32" s="5" t="inlineStr">
        <is>
          <t>Simple information prix</t>
        </is>
      </c>
      <c r="H32" s="5" t="inlineStr">
        <is>
          <t>Non</t>
        </is>
      </c>
      <c r="I32" s="5" t="inlineStr">
        <is>
          <t>Non abordé</t>
        </is>
      </c>
      <c r="J32" s="5" t="inlineStr">
        <is>
          <t>6 à 12 mois</t>
        </is>
      </c>
      <c r="K32" s="5" t="inlineStr">
        <is>
          <t>Oui</t>
        </is>
      </c>
      <c r="L32" s="5" t="inlineStr">
        <is>
          <t>Oui</t>
        </is>
      </c>
      <c r="M32" s="5">
        <f>IF(COUNTIF(D32,"manquant")+COUNTIF(G32,"Simple*")+COUNTIF(H32,"Non")+COUNTIF(J32,"Plus*")+COUNTIF(J32,"Non abordé")+COUNTIF(K32,"&lt;&gt;Oui")=0,"Qualifié",IF(COUNTIF(D32,"manquant")+COUNTIF(G32,"Simple*")&gt;0,"Brut","Intéressé"))</f>
        <v/>
      </c>
      <c r="N32" s="5" t="inlineStr">
        <is>
          <t>Non</t>
        </is>
      </c>
      <c r="O32" s="5" t="inlineStr"/>
      <c r="P32" s="5" t="inlineStr">
        <is>
          <t>Gardé au marketing</t>
        </is>
      </c>
    </row>
    <row r="33">
      <c r="A33" s="4" t="inlineStr">
        <is>
          <t>C29</t>
        </is>
      </c>
      <c r="B33" s="4" t="inlineStr">
        <is>
          <t>18/09/2026</t>
        </is>
      </c>
      <c r="C33" s="4" t="inlineStr">
        <is>
          <t>Edwige K. (fictif)</t>
        </is>
      </c>
      <c r="D33" s="4" t="inlineStr">
        <is>
          <t>+225 07 •• •• •• 86</t>
        </is>
      </c>
      <c r="E33" s="4" t="inlineStr">
        <is>
          <t>Formulaire site</t>
        </is>
      </c>
      <c r="F33" s="4" t="inlineStr">
        <is>
          <t>Non précisé</t>
        </is>
      </c>
      <c r="G33" s="4" t="inlineStr">
        <is>
          <t>Achat résidence principale</t>
        </is>
      </c>
      <c r="H33" s="4" t="inlineStr">
        <is>
          <t>Oui, déclaré</t>
        </is>
      </c>
      <c r="I33" s="4" t="inlineStr">
        <is>
          <t>Fonds propres</t>
        </is>
      </c>
      <c r="J33" s="4" t="inlineStr">
        <is>
          <t>Plus de 12 mois</t>
        </is>
      </c>
      <c r="K33" s="4" t="inlineStr">
        <is>
          <t>Oui</t>
        </is>
      </c>
      <c r="L33" s="4" t="inlineStr">
        <is>
          <t>Oui</t>
        </is>
      </c>
      <c r="M33" s="4">
        <f>IF(COUNTIF(D33,"manquant")+COUNTIF(G33,"Simple*")+COUNTIF(H33,"Non")+COUNTIF(J33,"Plus*")+COUNTIF(J33,"Non abordé")+COUNTIF(K33,"&lt;&gt;Oui")=0,"Qualifié",IF(COUNTIF(D33,"manquant")+COUNTIF(G33,"Simple*")&gt;0,"Brut","Intéressé"))</f>
        <v/>
      </c>
      <c r="N33" s="4" t="inlineStr">
        <is>
          <t>Non</t>
        </is>
      </c>
      <c r="O33" s="4" t="inlineStr"/>
      <c r="P33" s="4" t="inlineStr">
        <is>
          <t>Gardé au marketing</t>
        </is>
      </c>
    </row>
    <row r="34">
      <c r="A34" s="5" t="inlineStr">
        <is>
          <t>C30</t>
        </is>
      </c>
      <c r="B34" s="5" t="inlineStr">
        <is>
          <t>19/09/2026</t>
        </is>
      </c>
      <c r="C34" s="5" t="inlineStr">
        <is>
          <t>Souleymane A. (fictif)</t>
        </is>
      </c>
      <c r="D34" s="5" t="inlineStr">
        <is>
          <t>+225 07 •• •• •• 22</t>
        </is>
      </c>
      <c r="E34" s="5" t="inlineStr">
        <is>
          <t>WhatsApp</t>
        </is>
      </c>
      <c r="F34" s="5" t="inlineStr">
        <is>
          <t>Résidences Kotibé</t>
        </is>
      </c>
      <c r="G34" s="5" t="inlineStr">
        <is>
          <t>Investissement locatif</t>
        </is>
      </c>
      <c r="H34" s="5" t="inlineStr">
        <is>
          <t>Non</t>
        </is>
      </c>
      <c r="I34" s="5" t="inlineStr">
        <is>
          <t>Non abordé</t>
        </is>
      </c>
      <c r="J34" s="5" t="inlineStr">
        <is>
          <t>6 à 12 mois</t>
        </is>
      </c>
      <c r="K34" s="5" t="inlineStr">
        <is>
          <t>Oui</t>
        </is>
      </c>
      <c r="L34" s="5" t="inlineStr">
        <is>
          <t>Non noté</t>
        </is>
      </c>
      <c r="M34" s="5">
        <f>IF(COUNTIF(D34,"manquant")+COUNTIF(G34,"Simple*")+COUNTIF(H34,"Non")+COUNTIF(J34,"Plus*")+COUNTIF(J34,"Non abordé")+COUNTIF(K34,"&lt;&gt;Oui")=0,"Qualifié",IF(COUNTIF(D34,"manquant")+COUNTIF(G34,"Simple*")&gt;0,"Brut","Intéressé"))</f>
        <v/>
      </c>
      <c r="N34" s="5" t="inlineStr">
        <is>
          <t>Oui</t>
        </is>
      </c>
      <c r="O34" s="5" t="n">
        <v>2</v>
      </c>
      <c r="P34" s="5" t="inlineStr">
        <is>
          <t>Rendu : simple curieux</t>
        </is>
      </c>
    </row>
    <row r="36">
      <c r="A36" s="6" t="inlineStr">
        <is>
          <t>Niveau calculé selon la fiche : Qualifié = 5 critères tenus ; Brut = sans téléphone ou simple curiosité ; sinon Intéressé.</t>
        </is>
      </c>
    </row>
    <row r="37">
      <c r="A37" s="6" t="inlineStr">
        <is>
          <t>Aucun contact n’est appelé par Fatima : les rappels sont faits par les commerciaux.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1" customWidth="1" min="5" max="5"/>
    <col width="16" customWidth="1" min="6" max="6"/>
    <col width="15" customWidth="1" min="7" max="7"/>
    <col width="10" customWidth="1" min="8" max="8"/>
    <col width="22" customWidth="1" min="9" max="9"/>
  </cols>
  <sheetData>
    <row r="1">
      <c r="A1" s="1" t="inlineStr">
        <is>
          <t>KAYDAN GROUPE</t>
        </is>
      </c>
    </row>
    <row r="2">
      <c r="A2" s="2" t="inlineStr">
        <is>
          <t>Ce que deviennent les contacts, par source</t>
        </is>
      </c>
    </row>
    <row r="4">
      <c r="A4" s="3" t="inlineStr">
        <is>
          <t>Source</t>
        </is>
      </c>
      <c r="B4" s="3" t="inlineStr">
        <is>
          <t>Reçus</t>
        </is>
      </c>
      <c r="C4" s="3" t="inlineStr">
        <is>
          <t>Sans téléphone</t>
        </is>
      </c>
      <c r="D4" s="3" t="inlineStr">
        <is>
          <t>Qualifiés</t>
        </is>
      </c>
      <c r="E4" s="3" t="inlineStr">
        <is>
          <t>Transmis</t>
        </is>
      </c>
      <c r="F4" s="3" t="inlineStr">
        <is>
          <t>Rappelés sous 48 h</t>
        </is>
      </c>
      <c r="G4" s="3" t="inlineStr">
        <is>
          <t>Jamais rappelés</t>
        </is>
      </c>
      <c r="H4" s="3" t="inlineStr">
        <is>
          <t>Rendus</t>
        </is>
      </c>
      <c r="I4" s="3" t="inlineStr">
        <is>
          <t>Avancés (RDV, visite, réservation)</t>
        </is>
      </c>
    </row>
    <row r="5">
      <c r="A5" s="4" t="inlineStr">
        <is>
          <t>Appel</t>
        </is>
      </c>
      <c r="B5" s="4">
        <f>COUNTIF(Contacts!E5:E34,"Appel")</f>
        <v/>
      </c>
      <c r="C5" s="4">
        <f>COUNTIFS(Contacts!E5:E34,"Appel",Contacts!D5:D34,"manquant")</f>
        <v/>
      </c>
      <c r="D5" s="4">
        <f>COUNTIFS(Contacts!E5:E34,"Appel",Contacts!M5:M34,"Qualifié")</f>
        <v/>
      </c>
      <c r="E5" s="4">
        <f>COUNTIFS(Contacts!E5:E34,"Appel",Contacts!N5:N34,"Oui")</f>
        <v/>
      </c>
      <c r="F5" s="4">
        <f>COUNTIFS(Contacts!E5:E34,"Appel",Contacts!O5:O34,"&lt;=2")</f>
        <v/>
      </c>
      <c r="G5" s="4">
        <f>COUNTIFS(Contacts!E5:E34,"Appel",Contacts!P5:P34,"Jamais rappelé")</f>
        <v/>
      </c>
      <c r="H5" s="4">
        <f>COUNTIFS(Contacts!E5:E34,"Appel",Contacts!P5:P34,"Rendu*")</f>
        <v/>
      </c>
      <c r="I5" s="4">
        <f>COUNTIFS(Contacts!E5:E34,"Appel",Contacts!P5:P34,"Visite faite")+COUNTIFS(Contacts!E5:E34,"Appel",Contacts!P5:P34,"Réservation")+COUNTIFS(Contacts!E5:E34,"Appel",Contacts!P5:P34,"Rendez-vous pris")</f>
        <v/>
      </c>
    </row>
    <row r="6">
      <c r="A6" s="5" t="inlineStr">
        <is>
          <t>WhatsApp</t>
        </is>
      </c>
      <c r="B6" s="5">
        <f>COUNTIF(Contacts!E5:E34,"WhatsApp")</f>
        <v/>
      </c>
      <c r="C6" s="5">
        <f>COUNTIFS(Contacts!E5:E34,"WhatsApp",Contacts!D5:D34,"manquant")</f>
        <v/>
      </c>
      <c r="D6" s="5">
        <f>COUNTIFS(Contacts!E5:E34,"WhatsApp",Contacts!M5:M34,"Qualifié")</f>
        <v/>
      </c>
      <c r="E6" s="5">
        <f>COUNTIFS(Contacts!E5:E34,"WhatsApp",Contacts!N5:N34,"Oui")</f>
        <v/>
      </c>
      <c r="F6" s="5">
        <f>COUNTIFS(Contacts!E5:E34,"WhatsApp",Contacts!O5:O34,"&lt;=2")</f>
        <v/>
      </c>
      <c r="G6" s="5">
        <f>COUNTIFS(Contacts!E5:E34,"WhatsApp",Contacts!P5:P34,"Jamais rappelé")</f>
        <v/>
      </c>
      <c r="H6" s="5">
        <f>COUNTIFS(Contacts!E5:E34,"WhatsApp",Contacts!P5:P34,"Rendu*")</f>
        <v/>
      </c>
      <c r="I6" s="5">
        <f>COUNTIFS(Contacts!E5:E34,"WhatsApp",Contacts!P5:P34,"Visite faite")+COUNTIFS(Contacts!E5:E34,"WhatsApp",Contacts!P5:P34,"Réservation")+COUNTIFS(Contacts!E5:E34,"WhatsApp",Contacts!P5:P34,"Rendez-vous pris")</f>
        <v/>
      </c>
    </row>
    <row r="7">
      <c r="A7" s="4" t="inlineStr">
        <is>
          <t>Formulaire site</t>
        </is>
      </c>
      <c r="B7" s="4">
        <f>COUNTIF(Contacts!E5:E34,"Formulaire site")</f>
        <v/>
      </c>
      <c r="C7" s="4">
        <f>COUNTIFS(Contacts!E5:E34,"Formulaire site",Contacts!D5:D34,"manquant")</f>
        <v/>
      </c>
      <c r="D7" s="4">
        <f>COUNTIFS(Contacts!E5:E34,"Formulaire site",Contacts!M5:M34,"Qualifié")</f>
        <v/>
      </c>
      <c r="E7" s="4">
        <f>COUNTIFS(Contacts!E5:E34,"Formulaire site",Contacts!N5:N34,"Oui")</f>
        <v/>
      </c>
      <c r="F7" s="4">
        <f>COUNTIFS(Contacts!E5:E34,"Formulaire site",Contacts!O5:O34,"&lt;=2")</f>
        <v/>
      </c>
      <c r="G7" s="4">
        <f>COUNTIFS(Contacts!E5:E34,"Formulaire site",Contacts!P5:P34,"Jamais rappelé")</f>
        <v/>
      </c>
      <c r="H7" s="4">
        <f>COUNTIFS(Contacts!E5:E34,"Formulaire site",Contacts!P5:P34,"Rendu*")</f>
        <v/>
      </c>
      <c r="I7" s="4">
        <f>COUNTIFS(Contacts!E5:E34,"Formulaire site",Contacts!P5:P34,"Visite faite")+COUNTIFS(Contacts!E5:E34,"Formulaire site",Contacts!P5:P34,"Réservation")+COUNTIFS(Contacts!E5:E34,"Formulaire site",Contacts!P5:P34,"Rendez-vous pris")</f>
        <v/>
      </c>
    </row>
    <row r="8">
      <c r="A8" s="5" t="inlineStr">
        <is>
          <t>Salon</t>
        </is>
      </c>
      <c r="B8" s="5">
        <f>COUNTIF(Contacts!E5:E34,"Salon")</f>
        <v/>
      </c>
      <c r="C8" s="5">
        <f>COUNTIFS(Contacts!E5:E34,"Salon",Contacts!D5:D34,"manquant")</f>
        <v/>
      </c>
      <c r="D8" s="5">
        <f>COUNTIFS(Contacts!E5:E34,"Salon",Contacts!M5:M34,"Qualifié")</f>
        <v/>
      </c>
      <c r="E8" s="5">
        <f>COUNTIFS(Contacts!E5:E34,"Salon",Contacts!N5:N34,"Oui")</f>
        <v/>
      </c>
      <c r="F8" s="5">
        <f>COUNTIFS(Contacts!E5:E34,"Salon",Contacts!O5:O34,"&lt;=2")</f>
        <v/>
      </c>
      <c r="G8" s="5">
        <f>COUNTIFS(Contacts!E5:E34,"Salon",Contacts!P5:P34,"Jamais rappelé")</f>
        <v/>
      </c>
      <c r="H8" s="5">
        <f>COUNTIFS(Contacts!E5:E34,"Salon",Contacts!P5:P34,"Rendu*")</f>
        <v/>
      </c>
      <c r="I8" s="5">
        <f>COUNTIFS(Contacts!E5:E34,"Salon",Contacts!P5:P34,"Visite faite")+COUNTIFS(Contacts!E5:E34,"Salon",Contacts!P5:P34,"Réservation")+COUNTIFS(Contacts!E5:E34,"Salon",Contacts!P5:P34,"Rendez-vous pris")</f>
        <v/>
      </c>
    </row>
    <row r="9">
      <c r="A9" s="4" t="inlineStr">
        <is>
          <t>Total</t>
        </is>
      </c>
      <c r="B9" s="4">
        <f>SUM(B5:B8)</f>
        <v/>
      </c>
      <c r="C9" s="4">
        <f>SUM(C5:C8)</f>
        <v/>
      </c>
      <c r="D9" s="4">
        <f>SUM(D5:D8)</f>
        <v/>
      </c>
      <c r="E9" s="4">
        <f>SUM(E5:E8)</f>
        <v/>
      </c>
      <c r="F9" s="4">
        <f>SUM(F5:F8)</f>
        <v/>
      </c>
      <c r="G9" s="4">
        <f>SUM(G5:G8)</f>
        <v/>
      </c>
      <c r="H9" s="4">
        <f>SUM(H5:H8)</f>
        <v/>
      </c>
      <c r="I9" s="4">
        <f>SUM(I5:I8)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KAYDAN GROUPE</t>
        </is>
      </c>
    </row>
    <row r="2">
      <c r="A2" s="2" t="inlineStr">
        <is>
          <t>Motifs de retour au marketing</t>
        </is>
      </c>
    </row>
    <row r="4">
      <c r="A4" s="3" t="inlineStr">
        <is>
          <t>Motif</t>
        </is>
      </c>
      <c r="B4" s="3" t="inlineStr">
        <is>
          <t>Nombre</t>
        </is>
      </c>
    </row>
    <row r="5">
      <c r="A5" s="4" t="inlineStr">
        <is>
          <t>Rendu : numéro faux</t>
        </is>
      </c>
      <c r="B5" s="4">
        <f>COUNTIF(Contacts!P5:P34,A5)</f>
        <v/>
      </c>
    </row>
    <row r="6">
      <c r="A6" s="5" t="inlineStr">
        <is>
          <t>Rendu : budget inconnu</t>
        </is>
      </c>
      <c r="B6" s="5">
        <f>COUNTIF(Contacts!P5:P34,A6)</f>
        <v/>
      </c>
    </row>
    <row r="7">
      <c r="A7" s="4" t="inlineStr">
        <is>
          <t>Rendu : simple curieux</t>
        </is>
      </c>
      <c r="B7" s="4">
        <f>COUNTIF(Contacts!P5:P34,A7)</f>
        <v/>
      </c>
    </row>
    <row r="8">
      <c r="A8" s="5" t="inlineStr">
        <is>
          <t>Jamais rappelé</t>
        </is>
      </c>
      <c r="B8" s="5">
        <f>COUNTIF(Contacts!P5:P34,A8)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2026-10-20T22:50:01Z</dcterms:created>
  <dcterms:modified xmlns:dcterms="http://purl.org/dc/terms/" xmlns:xsi="http://www.w3.org/2001/XMLSchema-instance" xsi:type="dcterms:W3CDTF">2026-10-20T22:50:01Z</dcterms:modified>
</cp:coreProperties>
</file>