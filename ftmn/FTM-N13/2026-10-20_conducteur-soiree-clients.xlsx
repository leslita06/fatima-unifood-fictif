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917237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917237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8" customWidth="1" min="7" max="7"/>
    <col width="26" customWidth="1" min="8" max="8"/>
    <col width="20" customWidth="1" min="9" max="9"/>
    <col width="34" customWidth="1" min="10" max="10"/>
    <col width="40" customWidth="1" min="11" max="11"/>
    <col width="22" customWidth="1" min="12" max="12"/>
    <col width="16" customWidth="1" min="13" max="13"/>
    <col width="44" customWidth="1" min="14" max="14"/>
  </cols>
  <sheetData>
    <row r="1">
      <c r="A1" s="1" t="inlineStr">
        <is>
          <t>Sofitel Abidjan Hôtel Ivoire</t>
        </is>
      </c>
    </row>
    <row r="2">
      <c r="A2" s="2" t="inlineStr">
        <is>
          <t>Conducteur de la soirée clients (document interne)</t>
        </is>
      </c>
    </row>
    <row r="4">
      <c r="A4" s="3" t="inlineStr">
        <is>
          <t>N°</t>
        </is>
      </c>
      <c r="B4" s="3" t="inlineStr">
        <is>
          <t>Heure</t>
        </is>
      </c>
      <c r="C4" s="3" t="inlineStr">
        <is>
          <t>Début (min depuis 19 h)</t>
        </is>
      </c>
      <c r="D4" s="3" t="inlineStr">
        <is>
          <t>Durée annoncée (min)</t>
        </is>
      </c>
      <c r="E4" s="3" t="inlineStr">
        <is>
          <t>Durée mesurée sur le fichier (min)</t>
        </is>
      </c>
      <c r="F4" s="3" t="inlineStr">
        <is>
          <t>Durée retenue (min)</t>
        </is>
      </c>
      <c r="G4" s="3" t="inlineStr">
        <is>
          <t>Écart (min)</t>
        </is>
      </c>
      <c r="H4" s="3" t="inlineStr">
        <is>
          <t>Séquence</t>
        </is>
      </c>
      <c r="I4" s="3" t="inlineStr">
        <is>
          <t>Qui</t>
        </is>
      </c>
      <c r="J4" s="3" t="inlineStr">
        <is>
          <t>Support à l'écran (fichier exact, diapositive de départ)</t>
        </is>
      </c>
      <c r="K4" s="3" t="inlineStr">
        <is>
          <t>Top de régie (mot pour mot)</t>
        </is>
      </c>
      <c r="L4" s="3" t="inlineStr">
        <is>
          <t>Son et lumière</t>
        </is>
      </c>
      <c r="M4" s="3" t="inlineStr">
        <is>
          <t>Responsable</t>
        </is>
      </c>
      <c r="N4" s="3" t="inlineStr">
        <is>
          <t>Plan B</t>
        </is>
      </c>
    </row>
    <row r="5">
      <c r="A5" s="4" t="n">
        <v>1</v>
      </c>
      <c r="B5" s="4">
        <f>TEXT(TIME(19,0,0)+C5/1440,"hh:mm")</f>
        <v/>
      </c>
      <c r="C5" s="4" t="n">
        <v>0</v>
      </c>
      <c r="D5" s="4" t="n">
        <v>30</v>
      </c>
      <c r="E5" s="4" t="inlineStr"/>
      <c r="F5" s="4">
        <f>IF(E5="",D5,E5)</f>
        <v/>
      </c>
      <c r="G5" s="4">
        <f>F5-D5</f>
        <v/>
      </c>
      <c r="H5" s="4" t="inlineStr">
        <is>
          <t>Accueil des invités, cocktail</t>
        </is>
      </c>
      <c r="I5" s="4" t="inlineStr">
        <is>
          <t>Hôtesses</t>
        </is>
      </c>
      <c r="J5" s="4" t="inlineStr">
        <is>
          <t>Écran : 00_Boucle_Accueil.mp4 (boucle, sans son)</t>
        </is>
      </c>
      <c r="K5" s="4" t="inlineStr">
        <is>
          <t>Pas de top : la boucle tourne dès 18 h 45.</t>
        </is>
      </c>
      <c r="L5" s="4" t="inlineStr">
        <is>
          <t>Musique d'ambiance, lumière salle à 100 %</t>
        </is>
      </c>
      <c r="M5" s="4" t="inlineStr">
        <is>
          <t>Régie vidéo</t>
        </is>
      </c>
      <c r="N5" s="4" t="inlineStr">
        <is>
          <t>Boucle bloquée : afficher la diapositive 1 de 02_Discours_DG.pptx.</t>
        </is>
      </c>
    </row>
    <row r="6">
      <c r="A6" s="5" t="n">
        <v>2</v>
      </c>
      <c r="B6" s="5">
        <f>TEXT(TIME(19,0,0)+C6/1440,"hh:mm")</f>
        <v/>
      </c>
      <c r="C6" s="5">
        <f>C5+F5</f>
        <v/>
      </c>
      <c r="D6" s="5" t="n">
        <v>1.5</v>
      </c>
      <c r="E6" s="5" t="n">
        <v>1.5</v>
      </c>
      <c r="F6" s="5">
        <f>IF(E6="",D6,E6)</f>
        <v/>
      </c>
      <c r="G6" s="5">
        <f>F6-D6</f>
        <v/>
      </c>
      <c r="H6" s="5" t="inlineStr">
        <is>
          <t>Ouverture : jingle et voix off</t>
        </is>
      </c>
      <c r="I6" s="5" t="inlineStr">
        <is>
          <t>Voix off (régie)</t>
        </is>
      </c>
      <c r="J6" s="5" t="inlineStr">
        <is>
          <t>Écran : 01_Jingle_Ouverture.mp4</t>
        </is>
      </c>
      <c r="K6" s="5" t="inlineStr">
        <is>
          <t>Top régie quand l'animateur dit : « Mesdames et messieurs, prenez place, la soirée commence. »</t>
        </is>
      </c>
      <c r="L6" s="5" t="inlineStr">
        <is>
          <t>Lumière salle à 20 %, son jingle</t>
        </is>
      </c>
      <c r="M6" s="5" t="inlineStr">
        <is>
          <t>Régisseur général</t>
        </is>
      </c>
      <c r="N6" s="5" t="inlineStr">
        <is>
          <t>Jingle muet : l'animateur enchaîne seul au micro.</t>
        </is>
      </c>
    </row>
    <row r="7">
      <c r="A7" s="4" t="n">
        <v>3</v>
      </c>
      <c r="B7" s="4">
        <f>TEXT(TIME(19,0,0)+C7/1440,"hh:mm")</f>
        <v/>
      </c>
      <c r="C7" s="4">
        <f>C6+F6</f>
        <v/>
      </c>
      <c r="D7" s="4" t="n">
        <v>8</v>
      </c>
      <c r="E7" s="4" t="inlineStr"/>
      <c r="F7" s="4">
        <f>IF(E7="",D7,E7)</f>
        <v/>
      </c>
      <c r="G7" s="4">
        <f>F7-D7</f>
        <v/>
      </c>
      <c r="H7" s="4" t="inlineStr">
        <is>
          <t>Discours de bienvenue</t>
        </is>
      </c>
      <c r="I7" s="4" t="inlineStr">
        <is>
          <t>Directeur général de l'hôtel</t>
        </is>
      </c>
      <c r="J7" s="4" t="inlineStr">
        <is>
          <t>Écran : 02_Discours_DG.pptx, départ diapositive 1</t>
        </is>
      </c>
      <c r="K7" s="4" t="inlineStr">
        <is>
          <t>Top lumière pupitre quand l'animateur dit : « J'appelle notre directeur général. »</t>
        </is>
      </c>
      <c r="L7" s="4" t="inlineStr">
        <is>
          <t>Douche sur le pupitre, micro HF 1</t>
        </is>
      </c>
      <c r="M7" s="4" t="inlineStr">
        <is>
          <t>Régisseur général</t>
        </is>
      </c>
      <c r="N7" s="4" t="inlineStr">
        <is>
          <t>Micro HF 1 muet : micro filaire de secours posé au pupitre. Directeur absent : le directeur commercial lit le texte imprimé.</t>
        </is>
      </c>
    </row>
    <row r="8">
      <c r="A8" s="5" t="n">
        <v>4</v>
      </c>
      <c r="B8" s="5">
        <f>TEXT(TIME(19,0,0)+C8/1440,"hh:mm")</f>
        <v/>
      </c>
      <c r="C8" s="5">
        <f>C7+F7</f>
        <v/>
      </c>
      <c r="D8" s="5" t="n">
        <v>2</v>
      </c>
      <c r="E8" s="5" t="n">
        <v>4</v>
      </c>
      <c r="F8" s="5">
        <f>IF(E8="",D8,E8)</f>
        <v/>
      </c>
      <c r="G8" s="5">
        <f>F8-D8</f>
        <v/>
      </c>
      <c r="H8" s="5" t="inlineStr">
        <is>
          <t>Film bilan de l'année</t>
        </is>
      </c>
      <c r="I8" s="5" t="inlineStr">
        <is>
          <t>Régie vidéo</t>
        </is>
      </c>
      <c r="J8" s="5" t="inlineStr">
        <is>
          <t>Écran : 03_Film_Bilan_2026.mp4</t>
        </is>
      </c>
      <c r="K8" s="5" t="inlineStr">
        <is>
          <t>Top régie quand le directeur général dit : « Je vous laisse découvrir l'année que nous avons vécue ensemble. »</t>
        </is>
      </c>
      <c r="L8" s="5" t="inlineStr">
        <is>
          <t>Lumière salle à 0 %, son du film</t>
        </is>
      </c>
      <c r="M8" s="5" t="inlineStr">
        <is>
          <t>Régie vidéo</t>
        </is>
      </c>
      <c r="N8" s="5" t="inlineStr">
        <is>
          <t>Film qui ne démarre pas : lancer la copie 03_Film_Bilan_2026_COPIE.mp4 sur la clé de secours ; sinon passer à la séquence suivante et l'animateur annonce le film pour plus tard.</t>
        </is>
      </c>
    </row>
    <row r="9">
      <c r="A9" s="4" t="n">
        <v>5</v>
      </c>
      <c r="B9" s="4">
        <f>TEXT(TIME(19,0,0)+C9/1440,"hh:mm")</f>
        <v/>
      </c>
      <c r="C9" s="4">
        <f>C8+F8</f>
        <v/>
      </c>
      <c r="D9" s="4" t="n">
        <v>10</v>
      </c>
      <c r="E9" s="4" t="inlineStr"/>
      <c r="F9" s="4">
        <f>IF(E9="",D9,E9)</f>
        <v/>
      </c>
      <c r="G9" s="4">
        <f>F9-D9</f>
        <v/>
      </c>
      <c r="H9" s="4" t="inlineStr">
        <is>
          <t>Discours partenaires</t>
        </is>
      </c>
      <c r="I9" s="4" t="inlineStr">
        <is>
          <t>Directeur commercial</t>
        </is>
      </c>
      <c r="J9" s="4" t="inlineStr">
        <is>
          <t>Écran : 04_Discours_DirCom.pptx, départ diapositive 1</t>
        </is>
      </c>
      <c r="K9" s="4" t="inlineStr">
        <is>
          <t>Top lumière pupitre quand l'animateur dit : « La parole est à notre directeur commercial. »</t>
        </is>
      </c>
      <c r="L9" s="4" t="inlineStr">
        <is>
          <t>Lumière salle à 30 %, micro HF 2</t>
        </is>
      </c>
      <c r="M9" s="4" t="inlineStr">
        <is>
          <t>Régisseur général</t>
        </is>
      </c>
      <c r="N9" s="4" t="inlineStr">
        <is>
          <t>Micro HF 2 muet : micro filaire. Directeur absent : l'animateur lit les remerciements prévus en annexe.</t>
        </is>
      </c>
    </row>
    <row r="10">
      <c r="A10" s="5" t="n">
        <v>6</v>
      </c>
      <c r="B10" s="5">
        <f>TEXT(TIME(19,0,0)+C10/1440,"hh:mm")</f>
        <v/>
      </c>
      <c r="C10" s="5">
        <f>C9+F9</f>
        <v/>
      </c>
      <c r="D10" s="5" t="n">
        <v>15</v>
      </c>
      <c r="E10" s="5" t="inlineStr"/>
      <c r="F10" s="5">
        <f>IF(E10="",D10,E10)</f>
        <v/>
      </c>
      <c r="G10" s="5">
        <f>F10-D10</f>
        <v/>
      </c>
      <c r="H10" s="5" t="inlineStr">
        <is>
          <t>Remise des prix (trois trophées)</t>
        </is>
      </c>
      <c r="I10" s="5" t="inlineStr">
        <is>
          <t>Directeur général et directeur commercial</t>
        </is>
      </c>
      <c r="J10" s="5" t="inlineStr">
        <is>
          <t>Écran : 05_Remise_Prix.pptx, départ diapositive 2 (la 1 est la couverture) ; son : 06_Fanfare_Prix.mp3 à chaque lauréat</t>
        </is>
      </c>
      <c r="K10" s="5" t="inlineStr">
        <is>
          <t>Top fanfare quand l'animateur dit : « Et le prix revient à… » (trois fois)</t>
        </is>
      </c>
      <c r="L10" s="5" t="inlineStr">
        <is>
          <t>Poursuite sur le lauréat, son fanfare</t>
        </is>
      </c>
      <c r="M10" s="5" t="inlineStr">
        <is>
          <t>Régie son</t>
        </is>
      </c>
      <c r="N10" s="5" t="inlineStr">
        <is>
          <t>Lauréat absent : un collègue reçoit le trophée, l'animateur le dit. Fanfare muette : applaudissements lancés par l'animateur.</t>
        </is>
      </c>
    </row>
    <row r="11">
      <c r="A11" s="4" t="n">
        <v>7</v>
      </c>
      <c r="B11" s="4">
        <f>TEXT(TIME(19,0,0)+C11/1440,"hh:mm")</f>
        <v/>
      </c>
      <c r="C11" s="4">
        <f>C10+F10</f>
        <v/>
      </c>
      <c r="D11" s="4" t="n">
        <v>5</v>
      </c>
      <c r="E11" s="4" t="inlineStr"/>
      <c r="F11" s="4">
        <f>IF(E11="",D11,E11)</f>
        <v/>
      </c>
      <c r="G11" s="4">
        <f>F11-D11</f>
        <v/>
      </c>
      <c r="H11" s="4" t="inlineStr">
        <is>
          <t>Photo officielle</t>
        </is>
      </c>
      <c r="I11" s="4" t="inlineStr">
        <is>
          <t>Photographe</t>
        </is>
      </c>
      <c r="J11" s="4" t="inlineStr">
        <is>
          <t>Écran : 05_Remise_Prix.pptx, diapositive 6 (logo)</t>
        </is>
      </c>
      <c r="K11" s="4" t="inlineStr">
        <is>
          <t>Top quand l'animateur dit : « Tous les lauréats sur scène pour la photo. »</t>
        </is>
      </c>
      <c r="L11" s="4" t="inlineStr">
        <is>
          <t>Lumière scène à 100 %</t>
        </is>
      </c>
      <c r="M11" s="4" t="inlineStr">
        <is>
          <t>Photographe</t>
        </is>
      </c>
      <c r="N11" s="4" t="inlineStr">
        <is>
          <t>Photographe absent : le vidéaste fait la photo.</t>
        </is>
      </c>
    </row>
    <row r="12">
      <c r="A12" s="5" t="n">
        <v>8</v>
      </c>
      <c r="B12" s="5">
        <f>TEXT(TIME(19,0,0)+C12/1440,"hh:mm")</f>
        <v/>
      </c>
      <c r="C12" s="5">
        <f>C11+F11</f>
        <v/>
      </c>
      <c r="D12" s="5" t="n">
        <v>60</v>
      </c>
      <c r="E12" s="5" t="inlineStr"/>
      <c r="F12" s="5">
        <f>IF(E12="",D12,E12)</f>
        <v/>
      </c>
      <c r="G12" s="5">
        <f>F12-D12</f>
        <v/>
      </c>
      <c r="H12" s="5" t="inlineStr">
        <is>
          <t>Clôture et ouverture du dîner</t>
        </is>
      </c>
      <c r="I12" s="5" t="inlineStr">
        <is>
          <t>Animateur</t>
        </is>
      </c>
      <c r="J12" s="5" t="inlineStr">
        <is>
          <t>Écran : 07_Boucle_Diner.mp4 (boucle)</t>
        </is>
      </c>
      <c r="K12" s="5" t="inlineStr">
        <is>
          <t>Top quand l'animateur dit : « Le dîner est servi, bonne soirée à tous. »</t>
        </is>
      </c>
      <c r="L12" s="5" t="inlineStr">
        <is>
          <t>Lumière salle à 60 %, musique de dîner</t>
        </is>
      </c>
      <c r="M12" s="5" t="inlineStr">
        <is>
          <t>Régisseur général</t>
        </is>
      </c>
      <c r="N12" s="5" t="inlineStr">
        <is>
          <t>Boucle bloquée : écran noir avec le logo.</t>
        </is>
      </c>
    </row>
    <row r="13">
      <c r="A13" s="4" t="inlineStr"/>
      <c r="B13" s="4">
        <f>TEXT(TIME(19,0,0)+C13/1440,"hh:mm")</f>
        <v/>
      </c>
      <c r="C13" s="4">
        <f>C12+F12</f>
        <v/>
      </c>
      <c r="D13" s="4">
        <f>SUM(D5:D12)</f>
        <v/>
      </c>
      <c r="E13" s="4" t="inlineStr"/>
      <c r="F13" s="4">
        <f>SUM(F5:F12)</f>
        <v/>
      </c>
      <c r="G13" s="4">
        <f>SUM(G5:G12)</f>
        <v/>
      </c>
      <c r="H13" s="4" t="inlineStr">
        <is>
          <t>Fin de la partie officielle, dîner en cours</t>
        </is>
      </c>
      <c r="I13" s="4" t="inlineStr"/>
      <c r="J13" s="4" t="inlineStr"/>
      <c r="K13" s="4" t="inlineStr"/>
      <c r="L13" s="4" t="inlineStr"/>
      <c r="M13" s="4" t="inlineStr"/>
      <c r="N13" s="4" t="inlineStr"/>
    </row>
    <row r="15">
      <c r="A15" s="6" t="inlineStr">
        <is>
          <t>Document interne : ne pas remettre aux invités.</t>
        </is>
      </c>
    </row>
    <row r="16">
      <c r="A16" s="6" t="inlineStr">
        <is>
          <t>Les heures se calculent par formule : changer une durée en colonne D ou E recalcule toute la suite.</t>
        </is>
      </c>
    </row>
    <row r="17">
      <c r="A17" s="6" t="inlineStr">
        <is>
          <t>Durées mesurées le 20/10/2026 avec ffprobe sur les fichiers reçus. Le film 03_Film_Bilan_2026.mp4 était annoncé à 2 min : il dure 4 min.</t>
        </is>
      </c>
    </row>
    <row r="18">
      <c r="A18" s="6" t="inlineStr">
        <is>
          <t>Programme, noms de fichiers et durées fictifs, fournis pour le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2026-10-20T22:39:28Z</dcterms:created>
  <dcterms:modified xmlns:dcterms="http://purl.org/dc/terms/" xmlns:xsi="http://www.w3.org/2001/XMLSchema-instance" xsi:type="dcterms:W3CDTF">2026-10-20T22:39:28Z</dcterms:modified>
</cp:coreProperties>
</file>