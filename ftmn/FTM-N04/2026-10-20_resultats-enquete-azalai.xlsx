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" sheetId="1" state="visible" r:id="rId1"/>
    <sheet xmlns:r="http://schemas.openxmlformats.org/officeDocument/2006/relationships" name="Satisfaction" sheetId="2" state="visible" r:id="rId2"/>
    <sheet xmlns:r="http://schemas.openxmlformats.org/officeDocument/2006/relationships" name="Notoriete" sheetId="3" state="visible" r:id="rId3"/>
    <sheet xmlns:r="http://schemas.openxmlformats.org/officeDocument/2006/relationships" name="Vag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888888"/>
      <sz val="9"/>
    </font>
    <font>
      <b val="1"/>
      <color rgb="00D35E14"/>
      <sz val="15"/>
    </font>
    <font>
      <b val="1"/>
      <color rgb="00FFFFFF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D35E14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</cols>
  <sheetData>
    <row r="1">
      <c r="A1" s="1" t="inlineStr">
        <is>
          <t>AZALAÏ HÔTEL ABIDJAN</t>
        </is>
      </c>
    </row>
    <row r="2">
      <c r="A2" s="2" t="inlineStr">
        <is>
          <t>Résultats calculés (formules montrées)</t>
        </is>
      </c>
    </row>
    <row r="4">
      <c r="A4" s="3" t="inlineStr">
        <is>
          <t>Indicateur</t>
        </is>
      </c>
      <c r="B4" s="3" t="inlineStr">
        <is>
          <t>Valeur</t>
        </is>
      </c>
    </row>
    <row r="5">
      <c r="A5" s="4" t="inlineStr">
        <is>
          <t>Répondants</t>
        </is>
      </c>
      <c r="B5" s="4">
        <f>COUNTA(Satisfaction!A5:A34)</f>
        <v/>
      </c>
    </row>
    <row r="6">
      <c r="A6" s="5" t="inlineStr">
        <is>
          <t>Promoteurs (9-10)</t>
        </is>
      </c>
      <c r="B6" s="5">
        <f>COUNTIF(Satisfaction!J5:J34,"&gt;=9")</f>
        <v/>
      </c>
    </row>
    <row r="7">
      <c r="A7" s="4" t="inlineStr">
        <is>
          <t>Détracteurs (0-6)</t>
        </is>
      </c>
      <c r="B7" s="4">
        <f>COUNTIF(Satisfaction!J5:J34,"&lt;=6")</f>
        <v/>
      </c>
    </row>
    <row r="8">
      <c r="A8" s="5" t="inlineStr">
        <is>
          <t>Note de recommandation = %promoteurs − %détracteurs</t>
        </is>
      </c>
      <c r="B8" s="5">
        <f>ROUND(100*B6/B5-100*B7/B5,0)</f>
        <v/>
      </c>
    </row>
    <row r="9">
      <c r="A9" s="4" t="inlineStr">
        <is>
          <t>Satisfaits (4 et 5)</t>
        </is>
      </c>
      <c r="B9" s="4">
        <f>COUNTIF(Satisfaction!E5:E34,"&gt;=4")</f>
        <v/>
      </c>
    </row>
    <row r="10">
      <c r="A10" s="5" t="inlineStr">
        <is>
          <t>Note moyenne</t>
        </is>
      </c>
      <c r="B10" s="5">
        <f>ROUND(AVERAGE(Satisfaction!E5:E34),2)</f>
        <v/>
      </c>
    </row>
    <row r="11">
      <c r="A11" s="4" t="inlineStr">
        <is>
          <t>Note de recommandation, face à face</t>
        </is>
      </c>
      <c r="B11" s="4">
        <f>ROUND(100*COUNTIFS(Satisfaction!C5:C34,"Face*",Satisfaction!J5:J34,"&gt;=9")/COUNTIF(Satisfaction!C5:C34,"Face*")-100*COUNTIFS(Satisfaction!C5:C34,"Face*",Satisfaction!J5:J34,"&lt;=6")/COUNTIF(Satisfaction!C5:C34,"Face*"),0)</f>
        <v/>
      </c>
    </row>
    <row r="12">
      <c r="A12" s="5" t="inlineStr">
        <is>
          <t>Notoriété spontanée Azalaï (%)</t>
        </is>
      </c>
      <c r="B12" s="5">
        <f>ROUND(100*COUNTIF(Notoriete!G5:G34,"1")/COUNTA(Notoriete!A5:A34),0)</f>
        <v/>
      </c>
    </row>
    <row r="13">
      <c r="A13" s="4" t="inlineStr">
        <is>
          <t>Première citée Azalaï (%)</t>
        </is>
      </c>
      <c r="B13" s="4">
        <f>ROUND(100*COUNTIF(Notoriete!D5:D34,"Azalaï")/COUNTA(Notoriete!A5:A34),0)</f>
        <v/>
      </c>
    </row>
    <row r="14">
      <c r="A14" s="5" t="inlineStr">
        <is>
          <t>Notoriété assistée Azalaï (%)</t>
        </is>
      </c>
      <c r="B14" s="5">
        <f>ROUND(100*COUNTIF(Notoriete!M5:M34,"1")/COUNTA(Notoriete!A5:A34),0)</f>
        <v/>
      </c>
    </row>
    <row r="16">
      <c r="A16" s="6" t="inlineStr">
        <is>
          <t>Réponses fictives de test : à remplacer par les réponses réelles exportées de Tally.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6" customWidth="1" min="4" max="4"/>
    <col width="12" customWidth="1" min="5" max="5"/>
    <col width="9" customWidth="1" min="6" max="6"/>
    <col width="9" customWidth="1" min="7" max="7"/>
    <col width="12" customWidth="1" min="8" max="8"/>
    <col width="11" customWidth="1" min="9" max="9"/>
    <col width="14" customWidth="1" min="10" max="10"/>
    <col width="13" customWidth="1" min="11" max="11"/>
    <col width="28" customWidth="1" min="12" max="12"/>
  </cols>
  <sheetData>
    <row r="1">
      <c r="A1" s="1" t="inlineStr">
        <is>
          <t>AZALAÏ HÔTEL ABIDJAN</t>
        </is>
      </c>
    </row>
    <row r="2">
      <c r="A2" s="2" t="inlineStr">
        <is>
          <t>30 réponses de satisfaction (fictives)</t>
        </is>
      </c>
    </row>
    <row r="4">
      <c r="A4" s="3" t="inlineStr">
        <is>
          <t>N°</t>
        </is>
      </c>
      <c r="B4" s="3" t="inlineStr">
        <is>
          <t>Consentement</t>
        </is>
      </c>
      <c r="C4" s="3" t="inlineStr">
        <is>
          <t>Canal</t>
        </is>
      </c>
      <c r="D4" s="3" t="inlineStr">
        <is>
          <t>Motif</t>
        </is>
      </c>
      <c r="E4" s="3" t="inlineStr">
        <is>
          <t>Satisfaction globale (1-5)</t>
        </is>
      </c>
      <c r="F4" s="3" t="inlineStr">
        <is>
          <t>Accueil</t>
        </is>
      </c>
      <c r="G4" s="3" t="inlineStr">
        <is>
          <t>Chambre</t>
        </is>
      </c>
      <c r="H4" s="3" t="inlineStr">
        <is>
          <t>Restauration</t>
        </is>
      </c>
      <c r="I4" s="3" t="inlineStr">
        <is>
          <t>Qualité-prix</t>
        </is>
      </c>
      <c r="J4" s="3" t="inlineStr">
        <is>
          <t>Recommandation (0-10)</t>
        </is>
      </c>
      <c r="K4" s="3" t="inlineStr">
        <is>
          <t>Catégorie</t>
        </is>
      </c>
      <c r="L4" s="3" t="inlineStr">
        <is>
          <t>Pourquoi</t>
        </is>
      </c>
    </row>
    <row r="5">
      <c r="A5" s="4" t="inlineStr">
        <is>
          <t>S01</t>
        </is>
      </c>
      <c r="B5" s="4" t="inlineStr">
        <is>
          <t>Oui</t>
        </is>
      </c>
      <c r="C5" s="4" t="inlineStr">
        <is>
          <t>Face à face réception</t>
        </is>
      </c>
      <c r="D5" s="4" t="inlineStr">
        <is>
          <t>Loisirs ou famille</t>
        </is>
      </c>
      <c r="E5" s="4" t="n">
        <v>4</v>
      </c>
      <c r="F5" s="4" t="n">
        <v>3</v>
      </c>
      <c r="G5" s="4" t="n">
        <v>5</v>
      </c>
      <c r="H5" s="4" t="n">
        <v>3</v>
      </c>
      <c r="I5" s="4" t="n">
        <v>4</v>
      </c>
      <c r="J5" s="4" t="n">
        <v>8</v>
      </c>
      <c r="K5" s="4">
        <f>IF(J5&gt;=9,"Promoteur",IF(J5&gt;=7,"Passif","Détracteur"))</f>
        <v/>
      </c>
      <c r="L5" s="4" t="inlineStr">
        <is>
          <t>Bon rapport qualité-prix</t>
        </is>
      </c>
    </row>
    <row r="6">
      <c r="A6" s="5" t="inlineStr">
        <is>
          <t>S02</t>
        </is>
      </c>
      <c r="B6" s="5" t="inlineStr">
        <is>
          <t>Oui</t>
        </is>
      </c>
      <c r="C6" s="5" t="inlineStr">
        <is>
          <t>Face à face réception</t>
        </is>
      </c>
      <c r="D6" s="5" t="inlineStr">
        <is>
          <t>Travail</t>
        </is>
      </c>
      <c r="E6" s="5" t="n">
        <v>4</v>
      </c>
      <c r="F6" s="5" t="n">
        <v>3</v>
      </c>
      <c r="G6" s="5" t="n">
        <v>4</v>
      </c>
      <c r="H6" s="5" t="n">
        <v>4</v>
      </c>
      <c r="I6" s="5" t="n">
        <v>3</v>
      </c>
      <c r="J6" s="5" t="n">
        <v>8</v>
      </c>
      <c r="K6" s="5">
        <f>IF(J6&gt;=9,"Promoteur",IF(J6&gt;=7,"Passif","Détracteur"))</f>
        <v/>
      </c>
      <c r="L6" s="5" t="inlineStr">
        <is>
          <t>Chambre propre</t>
        </is>
      </c>
    </row>
    <row r="7">
      <c r="A7" s="4" t="inlineStr">
        <is>
          <t>S03</t>
        </is>
      </c>
      <c r="B7" s="4" t="inlineStr">
        <is>
          <t>Oui</t>
        </is>
      </c>
      <c r="C7" s="4" t="inlineStr">
        <is>
          <t>WhatsApp</t>
        </is>
      </c>
      <c r="D7" s="4" t="inlineStr">
        <is>
          <t>Événement</t>
        </is>
      </c>
      <c r="E7" s="4" t="n">
        <v>4</v>
      </c>
      <c r="F7" s="4" t="n">
        <v>5</v>
      </c>
      <c r="G7" s="4" t="n">
        <v>4</v>
      </c>
      <c r="H7" s="4" t="n">
        <v>4</v>
      </c>
      <c r="I7" s="4" t="n">
        <v>5</v>
      </c>
      <c r="J7" s="4" t="n">
        <v>7</v>
      </c>
      <c r="K7" s="4">
        <f>IF(J7&gt;=9,"Promoteur",IF(J7&gt;=7,"Passif","Détracteur"))</f>
        <v/>
      </c>
      <c r="L7" s="4" t="inlineStr">
        <is>
          <t>Wifi lent</t>
        </is>
      </c>
    </row>
    <row r="8">
      <c r="A8" s="5" t="inlineStr">
        <is>
          <t>S04</t>
        </is>
      </c>
      <c r="B8" s="5" t="inlineStr">
        <is>
          <t>Oui</t>
        </is>
      </c>
      <c r="C8" s="5" t="inlineStr">
        <is>
          <t>Face à face réception</t>
        </is>
      </c>
      <c r="D8" s="5" t="inlineStr">
        <is>
          <t>Travail</t>
        </is>
      </c>
      <c r="E8" s="5" t="n">
        <v>2</v>
      </c>
      <c r="F8" s="5" t="n">
        <v>4</v>
      </c>
      <c r="G8" s="5" t="n">
        <v>3</v>
      </c>
      <c r="H8" s="5" t="n">
        <v>4</v>
      </c>
      <c r="I8" s="5" t="n">
        <v>3</v>
      </c>
      <c r="J8" s="5" t="n">
        <v>1</v>
      </c>
      <c r="K8" s="5">
        <f>IF(J8&gt;=9,"Promoteur",IF(J8&gt;=7,"Passif","Détracteur"))</f>
        <v/>
      </c>
      <c r="L8" s="5" t="inlineStr">
        <is>
          <t>Attente au check-in</t>
        </is>
      </c>
    </row>
    <row r="9">
      <c r="A9" s="4" t="inlineStr">
        <is>
          <t>S05</t>
        </is>
      </c>
      <c r="B9" s="4" t="inlineStr">
        <is>
          <t>Oui</t>
        </is>
      </c>
      <c r="C9" s="4" t="inlineStr">
        <is>
          <t>WhatsApp</t>
        </is>
      </c>
      <c r="D9" s="4" t="inlineStr">
        <is>
          <t>Travail</t>
        </is>
      </c>
      <c r="E9" s="4" t="n">
        <v>5</v>
      </c>
      <c r="F9" s="4" t="n">
        <v>4</v>
      </c>
      <c r="G9" s="4" t="n">
        <v>5</v>
      </c>
      <c r="H9" s="4" t="n">
        <v>4</v>
      </c>
      <c r="I9" s="4" t="n">
        <v>3</v>
      </c>
      <c r="J9" s="4" t="n">
        <v>10</v>
      </c>
      <c r="K9" s="4">
        <f>IF(J9&gt;=9,"Promoteur",IF(J9&gt;=7,"Passif","Détracteur"))</f>
        <v/>
      </c>
      <c r="L9" s="4" t="inlineStr">
        <is>
          <t>Accueil chaleureux</t>
        </is>
      </c>
    </row>
    <row r="10">
      <c r="A10" s="5" t="inlineStr">
        <is>
          <t>S06</t>
        </is>
      </c>
      <c r="B10" s="5" t="inlineStr">
        <is>
          <t>Oui</t>
        </is>
      </c>
      <c r="C10" s="5" t="inlineStr">
        <is>
          <t>Face à face réception</t>
        </is>
      </c>
      <c r="D10" s="5" t="inlineStr">
        <is>
          <t>Événement</t>
        </is>
      </c>
      <c r="E10" s="5" t="n">
        <v>5</v>
      </c>
      <c r="F10" s="5" t="n">
        <v>4</v>
      </c>
      <c r="G10" s="5" t="n">
        <v>3</v>
      </c>
      <c r="H10" s="5" t="n">
        <v>4</v>
      </c>
      <c r="I10" s="5" t="n">
        <v>5</v>
      </c>
      <c r="J10" s="5" t="n">
        <v>10</v>
      </c>
      <c r="K10" s="5">
        <f>IF(J10&gt;=9,"Promoteur",IF(J10&gt;=7,"Passif","Détracteur"))</f>
        <v/>
      </c>
      <c r="L10" s="5" t="inlineStr">
        <is>
          <t>Chambre propre</t>
        </is>
      </c>
    </row>
    <row r="11">
      <c r="A11" s="4" t="inlineStr">
        <is>
          <t>S07</t>
        </is>
      </c>
      <c r="B11" s="4" t="inlineStr">
        <is>
          <t>Oui</t>
        </is>
      </c>
      <c r="C11" s="4" t="inlineStr">
        <is>
          <t>Face à face réception</t>
        </is>
      </c>
      <c r="D11" s="4" t="inlineStr">
        <is>
          <t>Événement</t>
        </is>
      </c>
      <c r="E11" s="4" t="n">
        <v>5</v>
      </c>
      <c r="F11" s="4" t="n">
        <v>4</v>
      </c>
      <c r="G11" s="4" t="n">
        <v>4</v>
      </c>
      <c r="H11" s="4" t="n">
        <v>2</v>
      </c>
      <c r="I11" s="4" t="n">
        <v>3</v>
      </c>
      <c r="J11" s="4" t="n">
        <v>10</v>
      </c>
      <c r="K11" s="4">
        <f>IF(J11&gt;=9,"Promoteur",IF(J11&gt;=7,"Passif","Détracteur"))</f>
        <v/>
      </c>
      <c r="L11" s="4" t="inlineStr">
        <is>
          <t>Proche du centre commercial</t>
        </is>
      </c>
    </row>
    <row r="12">
      <c r="A12" s="5" t="inlineStr">
        <is>
          <t>S08</t>
        </is>
      </c>
      <c r="B12" s="5" t="inlineStr">
        <is>
          <t>Oui</t>
        </is>
      </c>
      <c r="C12" s="5" t="inlineStr">
        <is>
          <t>WhatsApp</t>
        </is>
      </c>
      <c r="D12" s="5" t="inlineStr">
        <is>
          <t>Travail</t>
        </is>
      </c>
      <c r="E12" s="5" t="n">
        <v>4</v>
      </c>
      <c r="F12" s="5" t="n">
        <v>5</v>
      </c>
      <c r="G12" s="5" t="n">
        <v>5</v>
      </c>
      <c r="H12" s="5" t="n">
        <v>4</v>
      </c>
      <c r="I12" s="5" t="n">
        <v>3</v>
      </c>
      <c r="J12" s="5" t="n">
        <v>8</v>
      </c>
      <c r="K12" s="5">
        <f>IF(J12&gt;=9,"Promoteur",IF(J12&gt;=7,"Passif","Détracteur"))</f>
        <v/>
      </c>
      <c r="L12" s="5" t="inlineStr">
        <is>
          <t>Bon rapport qualité-prix</t>
        </is>
      </c>
    </row>
    <row r="13">
      <c r="A13" s="4" t="inlineStr">
        <is>
          <t>S09</t>
        </is>
      </c>
      <c r="B13" s="4" t="inlineStr">
        <is>
          <t>Oui</t>
        </is>
      </c>
      <c r="C13" s="4" t="inlineStr">
        <is>
          <t>WhatsApp</t>
        </is>
      </c>
      <c r="D13" s="4" t="inlineStr">
        <is>
          <t>Événement</t>
        </is>
      </c>
      <c r="E13" s="4" t="n">
        <v>5</v>
      </c>
      <c r="F13" s="4" t="n">
        <v>3</v>
      </c>
      <c r="G13" s="4" t="n">
        <v>4</v>
      </c>
      <c r="H13" s="4" t="n">
        <v>2</v>
      </c>
      <c r="I13" s="4" t="n">
        <v>4</v>
      </c>
      <c r="J13" s="4" t="n">
        <v>9</v>
      </c>
      <c r="K13" s="4">
        <f>IF(J13&gt;=9,"Promoteur",IF(J13&gt;=7,"Passif","Détracteur"))</f>
        <v/>
      </c>
      <c r="L13" s="4" t="inlineStr">
        <is>
          <t>Accueil chaleureux</t>
        </is>
      </c>
    </row>
    <row r="14">
      <c r="A14" s="5" t="inlineStr">
        <is>
          <t>S10</t>
        </is>
      </c>
      <c r="B14" s="5" t="inlineStr">
        <is>
          <t>Oui</t>
        </is>
      </c>
      <c r="C14" s="5" t="inlineStr">
        <is>
          <t>WhatsApp</t>
        </is>
      </c>
      <c r="D14" s="5" t="inlineStr">
        <is>
          <t>Travail</t>
        </is>
      </c>
      <c r="E14" s="5" t="n">
        <v>4</v>
      </c>
      <c r="F14" s="5" t="n">
        <v>4</v>
      </c>
      <c r="G14" s="5" t="n">
        <v>4</v>
      </c>
      <c r="H14" s="5" t="n">
        <v>2</v>
      </c>
      <c r="I14" s="5" t="n">
        <v>3</v>
      </c>
      <c r="J14" s="5" t="n">
        <v>8</v>
      </c>
      <c r="K14" s="5">
        <f>IF(J14&gt;=9,"Promoteur",IF(J14&gt;=7,"Passif","Détracteur"))</f>
        <v/>
      </c>
      <c r="L14" s="5" t="inlineStr">
        <is>
          <t>Accueil chaleureux</t>
        </is>
      </c>
    </row>
    <row r="15">
      <c r="A15" s="4" t="inlineStr">
        <is>
          <t>S11</t>
        </is>
      </c>
      <c r="B15" s="4" t="inlineStr">
        <is>
          <t>Oui</t>
        </is>
      </c>
      <c r="C15" s="4" t="inlineStr">
        <is>
          <t>WhatsApp</t>
        </is>
      </c>
      <c r="D15" s="4" t="inlineStr">
        <is>
          <t>Loisirs ou famille</t>
        </is>
      </c>
      <c r="E15" s="4" t="n">
        <v>5</v>
      </c>
      <c r="F15" s="4" t="n">
        <v>5</v>
      </c>
      <c r="G15" s="4" t="n">
        <v>5</v>
      </c>
      <c r="H15" s="4" t="n">
        <v>4</v>
      </c>
      <c r="I15" s="4" t="n">
        <v>5</v>
      </c>
      <c r="J15" s="4" t="n">
        <v>9</v>
      </c>
      <c r="K15" s="4">
        <f>IF(J15&gt;=9,"Promoteur",IF(J15&gt;=7,"Passif","Détracteur"))</f>
        <v/>
      </c>
      <c r="L15" s="4" t="inlineStr">
        <is>
          <t>Accueil chaleureux</t>
        </is>
      </c>
    </row>
    <row r="16">
      <c r="A16" s="5" t="inlineStr">
        <is>
          <t>S12</t>
        </is>
      </c>
      <c r="B16" s="5" t="inlineStr">
        <is>
          <t>Oui</t>
        </is>
      </c>
      <c r="C16" s="5" t="inlineStr">
        <is>
          <t>Appel</t>
        </is>
      </c>
      <c r="D16" s="5" t="inlineStr">
        <is>
          <t>Loisirs ou famille</t>
        </is>
      </c>
      <c r="E16" s="5" t="n">
        <v>4</v>
      </c>
      <c r="F16" s="5" t="n">
        <v>5</v>
      </c>
      <c r="G16" s="5" t="n">
        <v>3</v>
      </c>
      <c r="H16" s="5" t="n">
        <v>3</v>
      </c>
      <c r="I16" s="5" t="n">
        <v>4</v>
      </c>
      <c r="J16" s="5" t="n">
        <v>7</v>
      </c>
      <c r="K16" s="5">
        <f>IF(J16&gt;=9,"Promoteur",IF(J16&gt;=7,"Passif","Détracteur"))</f>
        <v/>
      </c>
      <c r="L16" s="5" t="inlineStr">
        <is>
          <t>Wifi lent</t>
        </is>
      </c>
    </row>
    <row r="17">
      <c r="A17" s="4" t="inlineStr">
        <is>
          <t>S13</t>
        </is>
      </c>
      <c r="B17" s="4" t="inlineStr">
        <is>
          <t>Oui</t>
        </is>
      </c>
      <c r="C17" s="4" t="inlineStr">
        <is>
          <t>WhatsApp</t>
        </is>
      </c>
      <c r="D17" s="4" t="inlineStr">
        <is>
          <t>Travail</t>
        </is>
      </c>
      <c r="E17" s="4" t="n">
        <v>3</v>
      </c>
      <c r="F17" s="4" t="n">
        <v>5</v>
      </c>
      <c r="G17" s="4" t="n">
        <v>4</v>
      </c>
      <c r="H17" s="4" t="n">
        <v>4</v>
      </c>
      <c r="I17" s="4" t="n">
        <v>3</v>
      </c>
      <c r="J17" s="4" t="n">
        <v>5</v>
      </c>
      <c r="K17" s="4">
        <f>IF(J17&gt;=9,"Promoteur",IF(J17&gt;=7,"Passif","Détracteur"))</f>
        <v/>
      </c>
      <c r="L17" s="4" t="inlineStr">
        <is>
          <t>Bruit la nuit</t>
        </is>
      </c>
    </row>
    <row r="18">
      <c r="A18" s="5" t="inlineStr">
        <is>
          <t>S14</t>
        </is>
      </c>
      <c r="B18" s="5" t="inlineStr">
        <is>
          <t>Oui</t>
        </is>
      </c>
      <c r="C18" s="5" t="inlineStr">
        <is>
          <t>Appel</t>
        </is>
      </c>
      <c r="D18" s="5" t="inlineStr">
        <is>
          <t>Travail</t>
        </is>
      </c>
      <c r="E18" s="5" t="n">
        <v>5</v>
      </c>
      <c r="F18" s="5" t="n">
        <v>4</v>
      </c>
      <c r="G18" s="5" t="n">
        <v>5</v>
      </c>
      <c r="H18" s="5" t="n">
        <v>4</v>
      </c>
      <c r="I18" s="5" t="n">
        <v>5</v>
      </c>
      <c r="J18" s="5" t="n">
        <v>10</v>
      </c>
      <c r="K18" s="5">
        <f>IF(J18&gt;=9,"Promoteur",IF(J18&gt;=7,"Passif","Détracteur"))</f>
        <v/>
      </c>
      <c r="L18" s="5" t="inlineStr">
        <is>
          <t>Chambre propre</t>
        </is>
      </c>
    </row>
    <row r="19">
      <c r="A19" s="4" t="inlineStr">
        <is>
          <t>S15</t>
        </is>
      </c>
      <c r="B19" s="4" t="inlineStr">
        <is>
          <t>Oui</t>
        </is>
      </c>
      <c r="C19" s="4" t="inlineStr">
        <is>
          <t>WhatsApp</t>
        </is>
      </c>
      <c r="D19" s="4" t="inlineStr">
        <is>
          <t>Événement</t>
        </is>
      </c>
      <c r="E19" s="4" t="n">
        <v>4</v>
      </c>
      <c r="F19" s="4" t="n">
        <v>4</v>
      </c>
      <c r="G19" s="4" t="n">
        <v>5</v>
      </c>
      <c r="H19" s="4" t="n">
        <v>4</v>
      </c>
      <c r="I19" s="4" t="n">
        <v>3</v>
      </c>
      <c r="J19" s="4" t="n">
        <v>8</v>
      </c>
      <c r="K19" s="4">
        <f>IF(J19&gt;=9,"Promoteur",IF(J19&gt;=7,"Passif","Détracteur"))</f>
        <v/>
      </c>
      <c r="L19" s="4" t="inlineStr">
        <is>
          <t>Accueil chaleureux</t>
        </is>
      </c>
    </row>
    <row r="20">
      <c r="A20" s="5" t="inlineStr">
        <is>
          <t>S16</t>
        </is>
      </c>
      <c r="B20" s="5" t="inlineStr">
        <is>
          <t>Oui</t>
        </is>
      </c>
      <c r="C20" s="5" t="inlineStr">
        <is>
          <t>WhatsApp</t>
        </is>
      </c>
      <c r="D20" s="5" t="inlineStr">
        <is>
          <t>Travail</t>
        </is>
      </c>
      <c r="E20" s="5" t="n">
        <v>3</v>
      </c>
      <c r="F20" s="5" t="n">
        <v>5</v>
      </c>
      <c r="G20" s="5" t="n">
        <v>4</v>
      </c>
      <c r="H20" s="5" t="n">
        <v>4</v>
      </c>
      <c r="I20" s="5" t="n">
        <v>3</v>
      </c>
      <c r="J20" s="5" t="n">
        <v>5</v>
      </c>
      <c r="K20" s="5">
        <f>IF(J20&gt;=9,"Promoteur",IF(J20&gt;=7,"Passif","Détracteur"))</f>
        <v/>
      </c>
      <c r="L20" s="5" t="inlineStr">
        <is>
          <t>Petit-déjeuner peu varié</t>
        </is>
      </c>
    </row>
    <row r="21">
      <c r="A21" s="4" t="inlineStr">
        <is>
          <t>S17</t>
        </is>
      </c>
      <c r="B21" s="4" t="inlineStr">
        <is>
          <t>Oui</t>
        </is>
      </c>
      <c r="C21" s="4" t="inlineStr">
        <is>
          <t>Face à face réception</t>
        </is>
      </c>
      <c r="D21" s="4" t="inlineStr">
        <is>
          <t>Travail</t>
        </is>
      </c>
      <c r="E21" s="4" t="n">
        <v>5</v>
      </c>
      <c r="F21" s="4" t="n">
        <v>5</v>
      </c>
      <c r="G21" s="4" t="n">
        <v>5</v>
      </c>
      <c r="H21" s="4" t="n">
        <v>4</v>
      </c>
      <c r="I21" s="4" t="n">
        <v>3</v>
      </c>
      <c r="J21" s="4" t="n">
        <v>10</v>
      </c>
      <c r="K21" s="4">
        <f>IF(J21&gt;=9,"Promoteur",IF(J21&gt;=7,"Passif","Détracteur"))</f>
        <v/>
      </c>
      <c r="L21" s="4" t="inlineStr">
        <is>
          <t>Proche du centre commercial</t>
        </is>
      </c>
    </row>
    <row r="22">
      <c r="A22" s="5" t="inlineStr">
        <is>
          <t>S18</t>
        </is>
      </c>
      <c r="B22" s="5" t="inlineStr">
        <is>
          <t>Oui</t>
        </is>
      </c>
      <c r="C22" s="5" t="inlineStr">
        <is>
          <t>WhatsApp</t>
        </is>
      </c>
      <c r="D22" s="5" t="inlineStr">
        <is>
          <t>Événement</t>
        </is>
      </c>
      <c r="E22" s="5" t="n">
        <v>3</v>
      </c>
      <c r="F22" s="5" t="n">
        <v>3</v>
      </c>
      <c r="G22" s="5" t="n">
        <v>5</v>
      </c>
      <c r="H22" s="5" t="n">
        <v>4</v>
      </c>
      <c r="I22" s="5" t="n">
        <v>3</v>
      </c>
      <c r="J22" s="5" t="n">
        <v>5</v>
      </c>
      <c r="K22" s="5">
        <f>IF(J22&gt;=9,"Promoteur",IF(J22&gt;=7,"Passif","Détracteur"))</f>
        <v/>
      </c>
      <c r="L22" s="5" t="inlineStr">
        <is>
          <t>Wifi lent</t>
        </is>
      </c>
    </row>
    <row r="23">
      <c r="A23" s="4" t="inlineStr">
        <is>
          <t>S19</t>
        </is>
      </c>
      <c r="B23" s="4" t="inlineStr">
        <is>
          <t>Oui</t>
        </is>
      </c>
      <c r="C23" s="4" t="inlineStr">
        <is>
          <t>Appel</t>
        </is>
      </c>
      <c r="D23" s="4" t="inlineStr">
        <is>
          <t>Loisirs ou famille</t>
        </is>
      </c>
      <c r="E23" s="4" t="n">
        <v>4</v>
      </c>
      <c r="F23" s="4" t="n">
        <v>4</v>
      </c>
      <c r="G23" s="4" t="n">
        <v>4</v>
      </c>
      <c r="H23" s="4" t="n">
        <v>3</v>
      </c>
      <c r="I23" s="4" t="n">
        <v>3</v>
      </c>
      <c r="J23" s="4" t="n">
        <v>7</v>
      </c>
      <c r="K23" s="4">
        <f>IF(J23&gt;=9,"Promoteur",IF(J23&gt;=7,"Passif","Détracteur"))</f>
        <v/>
      </c>
      <c r="L23" s="4" t="inlineStr">
        <is>
          <t>Attente au check-in</t>
        </is>
      </c>
    </row>
    <row r="24">
      <c r="A24" s="5" t="inlineStr">
        <is>
          <t>S20</t>
        </is>
      </c>
      <c r="B24" s="5" t="inlineStr">
        <is>
          <t>Oui</t>
        </is>
      </c>
      <c r="C24" s="5" t="inlineStr">
        <is>
          <t>WhatsApp</t>
        </is>
      </c>
      <c r="D24" s="5" t="inlineStr">
        <is>
          <t>Travail</t>
        </is>
      </c>
      <c r="E24" s="5" t="n">
        <v>2</v>
      </c>
      <c r="F24" s="5" t="n">
        <v>5</v>
      </c>
      <c r="G24" s="5" t="n">
        <v>5</v>
      </c>
      <c r="H24" s="5" t="n">
        <v>3</v>
      </c>
      <c r="I24" s="5" t="n">
        <v>3</v>
      </c>
      <c r="J24" s="5" t="n">
        <v>3</v>
      </c>
      <c r="K24" s="5">
        <f>IF(J24&gt;=9,"Promoteur",IF(J24&gt;=7,"Passif","Détracteur"))</f>
        <v/>
      </c>
      <c r="L24" s="5" t="inlineStr">
        <is>
          <t>Petit-déjeuner peu varié</t>
        </is>
      </c>
    </row>
    <row r="25">
      <c r="A25" s="4" t="inlineStr">
        <is>
          <t>S21</t>
        </is>
      </c>
      <c r="B25" s="4" t="inlineStr">
        <is>
          <t>Oui</t>
        </is>
      </c>
      <c r="C25" s="4" t="inlineStr">
        <is>
          <t>Appel</t>
        </is>
      </c>
      <c r="D25" s="4" t="inlineStr">
        <is>
          <t>Travail</t>
        </is>
      </c>
      <c r="E25" s="4" t="n">
        <v>5</v>
      </c>
      <c r="F25" s="4" t="n">
        <v>5</v>
      </c>
      <c r="G25" s="4" t="n">
        <v>4</v>
      </c>
      <c r="H25" s="4" t="n">
        <v>3</v>
      </c>
      <c r="I25" s="4" t="n">
        <v>3</v>
      </c>
      <c r="J25" s="4" t="n">
        <v>9</v>
      </c>
      <c r="K25" s="4">
        <f>IF(J25&gt;=9,"Promoteur",IF(J25&gt;=7,"Passif","Détracteur"))</f>
        <v/>
      </c>
      <c r="L25" s="4" t="inlineStr">
        <is>
          <t>Proche du centre commercial</t>
        </is>
      </c>
    </row>
    <row r="26">
      <c r="A26" s="5" t="inlineStr">
        <is>
          <t>S22</t>
        </is>
      </c>
      <c r="B26" s="5" t="inlineStr">
        <is>
          <t>Oui</t>
        </is>
      </c>
      <c r="C26" s="5" t="inlineStr">
        <is>
          <t>Appel</t>
        </is>
      </c>
      <c r="D26" s="5" t="inlineStr">
        <is>
          <t>Loisirs ou famille</t>
        </is>
      </c>
      <c r="E26" s="5" t="n">
        <v>5</v>
      </c>
      <c r="F26" s="5" t="n">
        <v>3</v>
      </c>
      <c r="G26" s="5" t="n">
        <v>5</v>
      </c>
      <c r="H26" s="5" t="n">
        <v>3</v>
      </c>
      <c r="I26" s="5" t="n">
        <v>3</v>
      </c>
      <c r="J26" s="5" t="n">
        <v>9</v>
      </c>
      <c r="K26" s="5">
        <f>IF(J26&gt;=9,"Promoteur",IF(J26&gt;=7,"Passif","Détracteur"))</f>
        <v/>
      </c>
      <c r="L26" s="5" t="inlineStr">
        <is>
          <t>Bon rapport qualité-prix</t>
        </is>
      </c>
    </row>
    <row r="27">
      <c r="A27" s="4" t="inlineStr">
        <is>
          <t>S23</t>
        </is>
      </c>
      <c r="B27" s="4" t="inlineStr">
        <is>
          <t>Oui</t>
        </is>
      </c>
      <c r="C27" s="4" t="inlineStr">
        <is>
          <t>Face à face réception</t>
        </is>
      </c>
      <c r="D27" s="4" t="inlineStr">
        <is>
          <t>Travail</t>
        </is>
      </c>
      <c r="E27" s="4" t="n">
        <v>4</v>
      </c>
      <c r="F27" s="4" t="n">
        <v>4</v>
      </c>
      <c r="G27" s="4" t="n">
        <v>3</v>
      </c>
      <c r="H27" s="4" t="n">
        <v>4</v>
      </c>
      <c r="I27" s="4" t="n">
        <v>4</v>
      </c>
      <c r="J27" s="4" t="n">
        <v>9</v>
      </c>
      <c r="K27" s="4">
        <f>IF(J27&gt;=9,"Promoteur",IF(J27&gt;=7,"Passif","Détracteur"))</f>
        <v/>
      </c>
      <c r="L27" s="4" t="inlineStr">
        <is>
          <t>Accueil chaleureux</t>
        </is>
      </c>
    </row>
    <row r="28">
      <c r="A28" s="5" t="inlineStr">
        <is>
          <t>S24</t>
        </is>
      </c>
      <c r="B28" s="5" t="inlineStr">
        <is>
          <t>Oui</t>
        </is>
      </c>
      <c r="C28" s="5" t="inlineStr">
        <is>
          <t>WhatsApp</t>
        </is>
      </c>
      <c r="D28" s="5" t="inlineStr">
        <is>
          <t>Loisirs ou famille</t>
        </is>
      </c>
      <c r="E28" s="5" t="n">
        <v>5</v>
      </c>
      <c r="F28" s="5" t="n">
        <v>5</v>
      </c>
      <c r="G28" s="5" t="n">
        <v>5</v>
      </c>
      <c r="H28" s="5" t="n">
        <v>4</v>
      </c>
      <c r="I28" s="5" t="n">
        <v>5</v>
      </c>
      <c r="J28" s="5" t="n">
        <v>10</v>
      </c>
      <c r="K28" s="5">
        <f>IF(J28&gt;=9,"Promoteur",IF(J28&gt;=7,"Passif","Détracteur"))</f>
        <v/>
      </c>
      <c r="L28" s="5" t="inlineStr">
        <is>
          <t>Proche du centre commercial</t>
        </is>
      </c>
    </row>
    <row r="29">
      <c r="A29" s="4" t="inlineStr">
        <is>
          <t>S25</t>
        </is>
      </c>
      <c r="B29" s="4" t="inlineStr">
        <is>
          <t>Oui</t>
        </is>
      </c>
      <c r="C29" s="4" t="inlineStr">
        <is>
          <t>Appel</t>
        </is>
      </c>
      <c r="D29" s="4" t="inlineStr">
        <is>
          <t>Loisirs ou famille</t>
        </is>
      </c>
      <c r="E29" s="4" t="n">
        <v>5</v>
      </c>
      <c r="F29" s="4" t="n">
        <v>4</v>
      </c>
      <c r="G29" s="4" t="n">
        <v>3</v>
      </c>
      <c r="H29" s="4" t="n">
        <v>4</v>
      </c>
      <c r="I29" s="4" t="n">
        <v>4</v>
      </c>
      <c r="J29" s="4" t="n">
        <v>9</v>
      </c>
      <c r="K29" s="4">
        <f>IF(J29&gt;=9,"Promoteur",IF(J29&gt;=7,"Passif","Détracteur"))</f>
        <v/>
      </c>
      <c r="L29" s="4" t="inlineStr">
        <is>
          <t>Proche du centre commercial</t>
        </is>
      </c>
    </row>
    <row r="30">
      <c r="A30" s="5" t="inlineStr">
        <is>
          <t>S26</t>
        </is>
      </c>
      <c r="B30" s="5" t="inlineStr">
        <is>
          <t>Oui</t>
        </is>
      </c>
      <c r="C30" s="5" t="inlineStr">
        <is>
          <t>Appel</t>
        </is>
      </c>
      <c r="D30" s="5" t="inlineStr">
        <is>
          <t>Travail</t>
        </is>
      </c>
      <c r="E30" s="5" t="n">
        <v>3</v>
      </c>
      <c r="F30" s="5" t="n">
        <v>3</v>
      </c>
      <c r="G30" s="5" t="n">
        <v>3</v>
      </c>
      <c r="H30" s="5" t="n">
        <v>2</v>
      </c>
      <c r="I30" s="5" t="n">
        <v>3</v>
      </c>
      <c r="J30" s="5" t="n">
        <v>5</v>
      </c>
      <c r="K30" s="5">
        <f>IF(J30&gt;=9,"Promoteur",IF(J30&gt;=7,"Passif","Détracteur"))</f>
        <v/>
      </c>
      <c r="L30" s="5" t="inlineStr">
        <is>
          <t>Bruit la nuit</t>
        </is>
      </c>
    </row>
    <row r="31">
      <c r="A31" s="4" t="inlineStr">
        <is>
          <t>S27</t>
        </is>
      </c>
      <c r="B31" s="4" t="inlineStr">
        <is>
          <t>Oui</t>
        </is>
      </c>
      <c r="C31" s="4" t="inlineStr">
        <is>
          <t>WhatsApp</t>
        </is>
      </c>
      <c r="D31" s="4" t="inlineStr">
        <is>
          <t>Travail</t>
        </is>
      </c>
      <c r="E31" s="4" t="n">
        <v>5</v>
      </c>
      <c r="F31" s="4" t="n">
        <v>4</v>
      </c>
      <c r="G31" s="4" t="n">
        <v>3</v>
      </c>
      <c r="H31" s="4" t="n">
        <v>4</v>
      </c>
      <c r="I31" s="4" t="n">
        <v>4</v>
      </c>
      <c r="J31" s="4" t="n">
        <v>9</v>
      </c>
      <c r="K31" s="4">
        <f>IF(J31&gt;=9,"Promoteur",IF(J31&gt;=7,"Passif","Détracteur"))</f>
        <v/>
      </c>
      <c r="L31" s="4" t="inlineStr">
        <is>
          <t>Accueil chaleureux</t>
        </is>
      </c>
    </row>
    <row r="32">
      <c r="A32" s="5" t="inlineStr">
        <is>
          <t>S28</t>
        </is>
      </c>
      <c r="B32" s="5" t="inlineStr">
        <is>
          <t>Oui</t>
        </is>
      </c>
      <c r="C32" s="5" t="inlineStr">
        <is>
          <t>WhatsApp</t>
        </is>
      </c>
      <c r="D32" s="5" t="inlineStr">
        <is>
          <t>Événement</t>
        </is>
      </c>
      <c r="E32" s="5" t="n">
        <v>4</v>
      </c>
      <c r="F32" s="5" t="n">
        <v>5</v>
      </c>
      <c r="G32" s="5" t="n">
        <v>4</v>
      </c>
      <c r="H32" s="5" t="n">
        <v>4</v>
      </c>
      <c r="I32" s="5" t="n">
        <v>3</v>
      </c>
      <c r="J32" s="5" t="n">
        <v>8</v>
      </c>
      <c r="K32" s="5">
        <f>IF(J32&gt;=9,"Promoteur",IF(J32&gt;=7,"Passif","Détracteur"))</f>
        <v/>
      </c>
      <c r="L32" s="5" t="inlineStr">
        <is>
          <t>Chambre propre</t>
        </is>
      </c>
    </row>
    <row r="33">
      <c r="A33" s="4" t="inlineStr">
        <is>
          <t>S29</t>
        </is>
      </c>
      <c r="B33" s="4" t="inlineStr">
        <is>
          <t>Oui</t>
        </is>
      </c>
      <c r="C33" s="4" t="inlineStr">
        <is>
          <t>WhatsApp</t>
        </is>
      </c>
      <c r="D33" s="4" t="inlineStr">
        <is>
          <t>Loisirs ou famille</t>
        </is>
      </c>
      <c r="E33" s="4" t="n">
        <v>3</v>
      </c>
      <c r="F33" s="4" t="n">
        <v>3</v>
      </c>
      <c r="G33" s="4" t="n">
        <v>4</v>
      </c>
      <c r="H33" s="4" t="n">
        <v>4</v>
      </c>
      <c r="I33" s="4" t="n">
        <v>4</v>
      </c>
      <c r="J33" s="4" t="n">
        <v>5</v>
      </c>
      <c r="K33" s="4">
        <f>IF(J33&gt;=9,"Promoteur",IF(J33&gt;=7,"Passif","Détracteur"))</f>
        <v/>
      </c>
      <c r="L33" s="4" t="inlineStr">
        <is>
          <t>Petit-déjeuner peu varié</t>
        </is>
      </c>
    </row>
    <row r="34">
      <c r="A34" s="5" t="inlineStr">
        <is>
          <t>S30</t>
        </is>
      </c>
      <c r="B34" s="5" t="inlineStr">
        <is>
          <t>Oui</t>
        </is>
      </c>
      <c r="C34" s="5" t="inlineStr">
        <is>
          <t>WhatsApp</t>
        </is>
      </c>
      <c r="D34" s="5" t="inlineStr">
        <is>
          <t>Travail</t>
        </is>
      </c>
      <c r="E34" s="5" t="n">
        <v>5</v>
      </c>
      <c r="F34" s="5" t="n">
        <v>3</v>
      </c>
      <c r="G34" s="5" t="n">
        <v>4</v>
      </c>
      <c r="H34" s="5" t="n">
        <v>3</v>
      </c>
      <c r="I34" s="5" t="n">
        <v>3</v>
      </c>
      <c r="J34" s="5" t="n">
        <v>9</v>
      </c>
      <c r="K34" s="5">
        <f>IF(J34&gt;=9,"Promoteur",IF(J34&gt;=7,"Passif","Détracteur"))</f>
        <v/>
      </c>
      <c r="L34" s="5" t="inlineStr">
        <is>
          <t>Bon rapport qualité-prix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17" max="17"/>
  </cols>
  <sheetData>
    <row r="1">
      <c r="A1" s="1" t="inlineStr">
        <is>
          <t>AZALAÏ HÔTEL ABIDJAN</t>
        </is>
      </c>
    </row>
    <row r="2">
      <c r="A2" s="2" t="inlineStr">
        <is>
          <t>30 réponses de notoriété (fictives) : 1 = connaît</t>
        </is>
      </c>
    </row>
    <row r="4">
      <c r="A4" s="3" t="inlineStr">
        <is>
          <t>N°</t>
        </is>
      </c>
      <c r="B4" s="3" t="inlineStr">
        <is>
          <t>Consentement</t>
        </is>
      </c>
      <c r="C4" s="3" t="inlineStr">
        <is>
          <t>Canal</t>
        </is>
      </c>
      <c r="D4" s="3" t="inlineStr">
        <is>
          <t>Cité en premier</t>
        </is>
      </c>
      <c r="E4" s="3" t="inlineStr">
        <is>
          <t>Spont. Sofitel Ivoire</t>
        </is>
      </c>
      <c r="F4" s="3" t="inlineStr">
        <is>
          <t>Spont. Pullman</t>
        </is>
      </c>
      <c r="G4" s="3" t="inlineStr">
        <is>
          <t>Spont. Azalaï</t>
        </is>
      </c>
      <c r="H4" s="3" t="inlineStr">
        <is>
          <t>Spont. Noom</t>
        </is>
      </c>
      <c r="I4" s="3" t="inlineStr">
        <is>
          <t>Spont. Radisson Blu</t>
        </is>
      </c>
      <c r="J4" s="3" t="inlineStr">
        <is>
          <t>Spont. Novotel</t>
        </is>
      </c>
      <c r="K4" s="3" t="inlineStr">
        <is>
          <t>Assist. Sofitel Ivoire</t>
        </is>
      </c>
      <c r="L4" s="3" t="inlineStr">
        <is>
          <t>Assist. Pullman</t>
        </is>
      </c>
      <c r="M4" s="3" t="inlineStr">
        <is>
          <t>Assist. Azalaï</t>
        </is>
      </c>
      <c r="N4" s="3" t="inlineStr">
        <is>
          <t>Assist. Noom</t>
        </is>
      </c>
      <c r="O4" s="3" t="inlineStr">
        <is>
          <t>Assist. Radisson Blu</t>
        </is>
      </c>
      <c r="P4" s="3" t="inlineStr">
        <is>
          <t>Assist. Novotel</t>
        </is>
      </c>
      <c r="Q4" s="3" t="inlineStr">
        <is>
          <t>Âge</t>
        </is>
      </c>
    </row>
    <row r="5">
      <c r="A5" s="4" t="inlineStr">
        <is>
          <t>N01</t>
        </is>
      </c>
      <c r="B5" s="4" t="inlineStr">
        <is>
          <t>Oui</t>
        </is>
      </c>
      <c r="C5" s="4" t="inlineStr">
        <is>
          <t>Formulaire en ligne</t>
        </is>
      </c>
      <c r="D5" s="4" t="inlineStr">
        <is>
          <t>Sofitel Ivoire</t>
        </is>
      </c>
      <c r="E5" s="4" t="inlineStr">
        <is>
          <t>1</t>
        </is>
      </c>
      <c r="F5" s="4" t="inlineStr">
        <is>
          <t>1</t>
        </is>
      </c>
      <c r="G5" s="4" t="inlineStr">
        <is>
          <t>0</t>
        </is>
      </c>
      <c r="H5" s="4" t="inlineStr">
        <is>
          <t>0</t>
        </is>
      </c>
      <c r="I5" s="4" t="inlineStr">
        <is>
          <t>0</t>
        </is>
      </c>
      <c r="J5" s="4" t="inlineStr">
        <is>
          <t>0</t>
        </is>
      </c>
      <c r="K5" s="4" t="inlineStr">
        <is>
          <t>1</t>
        </is>
      </c>
      <c r="L5" s="4" t="inlineStr">
        <is>
          <t>1</t>
        </is>
      </c>
      <c r="M5" s="4" t="inlineStr">
        <is>
          <t>1</t>
        </is>
      </c>
      <c r="N5" s="4" t="inlineStr">
        <is>
          <t>0</t>
        </is>
      </c>
      <c r="O5" s="4" t="inlineStr">
        <is>
          <t>1</t>
        </is>
      </c>
      <c r="P5" s="4" t="inlineStr">
        <is>
          <t>1</t>
        </is>
      </c>
      <c r="Q5" s="4" t="inlineStr">
        <is>
          <t>35 à 49 ans</t>
        </is>
      </c>
    </row>
    <row r="6">
      <c r="A6" s="5" t="inlineStr">
        <is>
          <t>N02</t>
        </is>
      </c>
      <c r="B6" s="5" t="inlineStr">
        <is>
          <t>Oui</t>
        </is>
      </c>
      <c r="C6" s="5" t="inlineStr">
        <is>
          <t>Formulaire en ligne</t>
        </is>
      </c>
      <c r="D6" s="5" t="inlineStr">
        <is>
          <t>Sofitel Ivoire</t>
        </is>
      </c>
      <c r="E6" s="5" t="inlineStr">
        <is>
          <t>1</t>
        </is>
      </c>
      <c r="F6" s="5" t="inlineStr">
        <is>
          <t>0</t>
        </is>
      </c>
      <c r="G6" s="5" t="inlineStr">
        <is>
          <t>0</t>
        </is>
      </c>
      <c r="H6" s="5" t="inlineStr">
        <is>
          <t>0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1</t>
        </is>
      </c>
      <c r="L6" s="5" t="inlineStr">
        <is>
          <t>0</t>
        </is>
      </c>
      <c r="M6" s="5" t="inlineStr">
        <is>
          <t>1</t>
        </is>
      </c>
      <c r="N6" s="5" t="inlineStr">
        <is>
          <t>1</t>
        </is>
      </c>
      <c r="O6" s="5" t="inlineStr">
        <is>
          <t>0</t>
        </is>
      </c>
      <c r="P6" s="5" t="inlineStr">
        <is>
          <t>1</t>
        </is>
      </c>
      <c r="Q6" s="5" t="inlineStr">
        <is>
          <t>18 à 24 ans</t>
        </is>
      </c>
    </row>
    <row r="7">
      <c r="A7" s="4" t="inlineStr">
        <is>
          <t>N03</t>
        </is>
      </c>
      <c r="B7" s="4" t="inlineStr">
        <is>
          <t>Oui</t>
        </is>
      </c>
      <c r="C7" s="4" t="inlineStr">
        <is>
          <t>Formulaire en ligne</t>
        </is>
      </c>
      <c r="D7" s="4" t="inlineStr">
        <is>
          <t>Azalaï</t>
        </is>
      </c>
      <c r="E7" s="4" t="inlineStr">
        <is>
          <t>0</t>
        </is>
      </c>
      <c r="F7" s="4" t="inlineStr">
        <is>
          <t>0</t>
        </is>
      </c>
      <c r="G7" s="4" t="inlineStr">
        <is>
          <t>1</t>
        </is>
      </c>
      <c r="H7" s="4" t="inlineStr">
        <is>
          <t>1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1</t>
        </is>
      </c>
      <c r="O7" s="4" t="inlineStr">
        <is>
          <t>1</t>
        </is>
      </c>
      <c r="P7" s="4" t="inlineStr">
        <is>
          <t>0</t>
        </is>
      </c>
      <c r="Q7" s="4" t="inlineStr">
        <is>
          <t>18 à 24 ans</t>
        </is>
      </c>
    </row>
    <row r="8">
      <c r="A8" s="5" t="inlineStr">
        <is>
          <t>N04</t>
        </is>
      </c>
      <c r="B8" s="5" t="inlineStr">
        <is>
          <t>Oui</t>
        </is>
      </c>
      <c r="C8" s="5" t="inlineStr">
        <is>
          <t>Rue, Marcory</t>
        </is>
      </c>
      <c r="D8" s="5" t="inlineStr">
        <is>
          <t>Pullman</t>
        </is>
      </c>
      <c r="E8" s="5" t="inlineStr">
        <is>
          <t>0</t>
        </is>
      </c>
      <c r="F8" s="5" t="inlineStr">
        <is>
          <t>1</t>
        </is>
      </c>
      <c r="G8" s="5" t="inlineStr">
        <is>
          <t>0</t>
        </is>
      </c>
      <c r="H8" s="5" t="inlineStr">
        <is>
          <t>0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1</t>
        </is>
      </c>
      <c r="L8" s="5" t="inlineStr">
        <is>
          <t>1</t>
        </is>
      </c>
      <c r="M8" s="5" t="inlineStr">
        <is>
          <t>1</t>
        </is>
      </c>
      <c r="N8" s="5" t="inlineStr">
        <is>
          <t>1</t>
        </is>
      </c>
      <c r="O8" s="5" t="inlineStr">
        <is>
          <t>1</t>
        </is>
      </c>
      <c r="P8" s="5" t="inlineStr">
        <is>
          <t>0</t>
        </is>
      </c>
      <c r="Q8" s="5" t="inlineStr">
        <is>
          <t>25 à 34 ans</t>
        </is>
      </c>
    </row>
    <row r="9">
      <c r="A9" s="4" t="inlineStr">
        <is>
          <t>N05</t>
        </is>
      </c>
      <c r="B9" s="4" t="inlineStr">
        <is>
          <t>Oui</t>
        </is>
      </c>
      <c r="C9" s="4" t="inlineStr">
        <is>
          <t>Formulaire en ligne</t>
        </is>
      </c>
      <c r="D9" s="4" t="inlineStr">
        <is>
          <t>Sofitel Ivoire</t>
        </is>
      </c>
      <c r="E9" s="4" t="inlineStr">
        <is>
          <t>1</t>
        </is>
      </c>
      <c r="F9" s="4" t="inlineStr">
        <is>
          <t>0</t>
        </is>
      </c>
      <c r="G9" s="4" t="inlineStr">
        <is>
          <t>0</t>
        </is>
      </c>
      <c r="H9" s="4" t="inlineStr">
        <is>
          <t>0</t>
        </is>
      </c>
      <c r="I9" s="4" t="inlineStr">
        <is>
          <t>0</t>
        </is>
      </c>
      <c r="J9" s="4" t="inlineStr">
        <is>
          <t>0</t>
        </is>
      </c>
      <c r="K9" s="4" t="inlineStr">
        <is>
          <t>1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1</t>
        </is>
      </c>
      <c r="O9" s="4" t="inlineStr">
        <is>
          <t>1</t>
        </is>
      </c>
      <c r="P9" s="4" t="inlineStr">
        <is>
          <t>0</t>
        </is>
      </c>
      <c r="Q9" s="4" t="inlineStr">
        <is>
          <t>25 à 34 ans</t>
        </is>
      </c>
    </row>
    <row r="10">
      <c r="A10" s="5" t="inlineStr">
        <is>
          <t>N06</t>
        </is>
      </c>
      <c r="B10" s="5" t="inlineStr">
        <is>
          <t>Oui</t>
        </is>
      </c>
      <c r="C10" s="5" t="inlineStr">
        <is>
          <t>Formulaire en ligne</t>
        </is>
      </c>
      <c r="D10" s="5" t="inlineStr">
        <is>
          <t>Azalaï</t>
        </is>
      </c>
      <c r="E10" s="5" t="inlineStr">
        <is>
          <t>0</t>
        </is>
      </c>
      <c r="F10" s="5" t="inlineStr">
        <is>
          <t>1</t>
        </is>
      </c>
      <c r="G10" s="5" t="inlineStr">
        <is>
          <t>1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1</t>
        </is>
      </c>
      <c r="L10" s="5" t="inlineStr">
        <is>
          <t>1</t>
        </is>
      </c>
      <c r="M10" s="5" t="inlineStr">
        <is>
          <t>1</t>
        </is>
      </c>
      <c r="N10" s="5" t="inlineStr">
        <is>
          <t>0</t>
        </is>
      </c>
      <c r="O10" s="5" t="inlineStr">
        <is>
          <t>1</t>
        </is>
      </c>
      <c r="P10" s="5" t="inlineStr">
        <is>
          <t>1</t>
        </is>
      </c>
      <c r="Q10" s="5" t="inlineStr">
        <is>
          <t>25 à 34 ans</t>
        </is>
      </c>
    </row>
    <row r="11">
      <c r="A11" s="4" t="inlineStr">
        <is>
          <t>N07</t>
        </is>
      </c>
      <c r="B11" s="4" t="inlineStr">
        <is>
          <t>Oui</t>
        </is>
      </c>
      <c r="C11" s="4" t="inlineStr">
        <is>
          <t>Rue, Plateau</t>
        </is>
      </c>
      <c r="D11" s="4" t="inlineStr">
        <is>
          <t>Noom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0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0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1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25 à 34 ans</t>
        </is>
      </c>
    </row>
    <row r="12">
      <c r="A12" s="5" t="inlineStr">
        <is>
          <t>N08</t>
        </is>
      </c>
      <c r="B12" s="5" t="inlineStr">
        <is>
          <t>Oui</t>
        </is>
      </c>
      <c r="C12" s="5" t="inlineStr">
        <is>
          <t>Rue, Marcory</t>
        </is>
      </c>
      <c r="D12" s="5" t="inlineStr">
        <is>
          <t>Sofitel Ivoire</t>
        </is>
      </c>
      <c r="E12" s="5" t="inlineStr">
        <is>
          <t>1</t>
        </is>
      </c>
      <c r="F12" s="5" t="inlineStr">
        <is>
          <t>1</t>
        </is>
      </c>
      <c r="G12" s="5" t="inlineStr">
        <is>
          <t>1</t>
        </is>
      </c>
      <c r="H12" s="5" t="inlineStr">
        <is>
          <t>1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</t>
        </is>
      </c>
      <c r="L12" s="5" t="inlineStr">
        <is>
          <t>1</t>
        </is>
      </c>
      <c r="M12" s="5" t="inlineStr">
        <is>
          <t>1</t>
        </is>
      </c>
      <c r="N12" s="5" t="inlineStr">
        <is>
          <t>1</t>
        </is>
      </c>
      <c r="O12" s="5" t="inlineStr">
        <is>
          <t>0</t>
        </is>
      </c>
      <c r="P12" s="5" t="inlineStr">
        <is>
          <t>0</t>
        </is>
      </c>
      <c r="Q12" s="5" t="inlineStr">
        <is>
          <t>35 à 49 ans</t>
        </is>
      </c>
    </row>
    <row r="13">
      <c r="A13" s="4" t="inlineStr">
        <is>
          <t>N09</t>
        </is>
      </c>
      <c r="B13" s="4" t="inlineStr">
        <is>
          <t>Oui</t>
        </is>
      </c>
      <c r="C13" s="4" t="inlineStr">
        <is>
          <t>Rue, Marcory</t>
        </is>
      </c>
      <c r="D13" s="4" t="inlineStr">
        <is>
          <t>Azalaï</t>
        </is>
      </c>
      <c r="E13" s="4" t="inlineStr">
        <is>
          <t>0</t>
        </is>
      </c>
      <c r="F13" s="4" t="inlineStr">
        <is>
          <t>0</t>
        </is>
      </c>
      <c r="G13" s="4" t="inlineStr">
        <is>
          <t>1</t>
        </is>
      </c>
      <c r="H13" s="4" t="inlineStr">
        <is>
          <t>0</t>
        </is>
      </c>
      <c r="I13" s="4" t="inlineStr">
        <is>
          <t>0</t>
        </is>
      </c>
      <c r="J13" s="4" t="inlineStr">
        <is>
          <t>0</t>
        </is>
      </c>
      <c r="K13" s="4" t="inlineStr">
        <is>
          <t>1</t>
        </is>
      </c>
      <c r="L13" s="4" t="inlineStr">
        <is>
          <t>0</t>
        </is>
      </c>
      <c r="M13" s="4" t="inlineStr">
        <is>
          <t>1</t>
        </is>
      </c>
      <c r="N13" s="4" t="inlineStr">
        <is>
          <t>1</t>
        </is>
      </c>
      <c r="O13" s="4" t="inlineStr">
        <is>
          <t>1</t>
        </is>
      </c>
      <c r="P13" s="4" t="inlineStr">
        <is>
          <t>1</t>
        </is>
      </c>
      <c r="Q13" s="4" t="inlineStr">
        <is>
          <t>35 à 49 ans</t>
        </is>
      </c>
    </row>
    <row r="14">
      <c r="A14" s="5" t="inlineStr">
        <is>
          <t>N10</t>
        </is>
      </c>
      <c r="B14" s="5" t="inlineStr">
        <is>
          <t>Oui</t>
        </is>
      </c>
      <c r="C14" s="5" t="inlineStr">
        <is>
          <t>Rue, Plateau</t>
        </is>
      </c>
      <c r="D14" s="5" t="inlineStr">
        <is>
          <t>Azalaï</t>
        </is>
      </c>
      <c r="E14" s="5" t="inlineStr">
        <is>
          <t>0</t>
        </is>
      </c>
      <c r="F14" s="5" t="inlineStr">
        <is>
          <t>0</t>
        </is>
      </c>
      <c r="G14" s="5" t="inlineStr">
        <is>
          <t>1</t>
        </is>
      </c>
      <c r="H14" s="5" t="inlineStr">
        <is>
          <t>1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</t>
        </is>
      </c>
      <c r="L14" s="5" t="inlineStr">
        <is>
          <t>1</t>
        </is>
      </c>
      <c r="M14" s="5" t="inlineStr">
        <is>
          <t>1</t>
        </is>
      </c>
      <c r="N14" s="5" t="inlineStr">
        <is>
          <t>1</t>
        </is>
      </c>
      <c r="O14" s="5" t="inlineStr">
        <is>
          <t>1</t>
        </is>
      </c>
      <c r="P14" s="5" t="inlineStr">
        <is>
          <t>0</t>
        </is>
      </c>
      <c r="Q14" s="5" t="inlineStr">
        <is>
          <t>18 à 24 ans</t>
        </is>
      </c>
    </row>
    <row r="15">
      <c r="A15" s="4" t="inlineStr">
        <is>
          <t>N11</t>
        </is>
      </c>
      <c r="B15" s="4" t="inlineStr">
        <is>
          <t>Oui</t>
        </is>
      </c>
      <c r="C15" s="4" t="inlineStr">
        <is>
          <t>Rue, Marcory</t>
        </is>
      </c>
      <c r="D15" s="4" t="inlineStr">
        <is>
          <t>Radisson Blu</t>
        </is>
      </c>
      <c r="E15" s="4" t="inlineStr">
        <is>
          <t>1</t>
        </is>
      </c>
      <c r="F15" s="4" t="inlineStr">
        <is>
          <t>0</t>
        </is>
      </c>
      <c r="G15" s="4" t="inlineStr">
        <is>
          <t>0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0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0</t>
        </is>
      </c>
      <c r="N15" s="4" t="inlineStr">
        <is>
          <t>1</t>
        </is>
      </c>
      <c r="O15" s="4" t="inlineStr">
        <is>
          <t>1</t>
        </is>
      </c>
      <c r="P15" s="4" t="inlineStr">
        <is>
          <t>1</t>
        </is>
      </c>
      <c r="Q15" s="4" t="inlineStr">
        <is>
          <t>25 à 34 ans</t>
        </is>
      </c>
    </row>
    <row r="16">
      <c r="A16" s="5" t="inlineStr">
        <is>
          <t>N12</t>
        </is>
      </c>
      <c r="B16" s="5" t="inlineStr">
        <is>
          <t>Oui</t>
        </is>
      </c>
      <c r="C16" s="5" t="inlineStr">
        <is>
          <t>Formulaire en ligne</t>
        </is>
      </c>
      <c r="D16" s="5" t="inlineStr">
        <is>
          <t>Aucun</t>
        </is>
      </c>
      <c r="E16" s="5" t="inlineStr">
        <is>
          <t>1</t>
        </is>
      </c>
      <c r="F16" s="5" t="inlineStr">
        <is>
          <t>1</t>
        </is>
      </c>
      <c r="G16" s="5" t="inlineStr">
        <is>
          <t>0</t>
        </is>
      </c>
      <c r="H16" s="5" t="inlineStr">
        <is>
          <t>1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1</t>
        </is>
      </c>
      <c r="L16" s="5" t="inlineStr">
        <is>
          <t>1</t>
        </is>
      </c>
      <c r="M16" s="5" t="inlineStr">
        <is>
          <t>1</t>
        </is>
      </c>
      <c r="N16" s="5" t="inlineStr">
        <is>
          <t>1</t>
        </is>
      </c>
      <c r="O16" s="5" t="inlineStr">
        <is>
          <t>0</t>
        </is>
      </c>
      <c r="P16" s="5" t="inlineStr">
        <is>
          <t>0</t>
        </is>
      </c>
      <c r="Q16" s="5" t="inlineStr">
        <is>
          <t>18 à 24 ans</t>
        </is>
      </c>
    </row>
    <row r="17">
      <c r="A17" s="4" t="inlineStr">
        <is>
          <t>N13</t>
        </is>
      </c>
      <c r="B17" s="4" t="inlineStr">
        <is>
          <t>Oui</t>
        </is>
      </c>
      <c r="C17" s="4" t="inlineStr">
        <is>
          <t>Rue, Marcory</t>
        </is>
      </c>
      <c r="D17" s="4" t="inlineStr">
        <is>
          <t>Radisson Blu</t>
        </is>
      </c>
      <c r="E17" s="4" t="inlineStr">
        <is>
          <t>0</t>
        </is>
      </c>
      <c r="F17" s="4" t="inlineStr">
        <is>
          <t>0</t>
        </is>
      </c>
      <c r="G17" s="4" t="inlineStr">
        <is>
          <t>0</t>
        </is>
      </c>
      <c r="H17" s="4" t="inlineStr">
        <is>
          <t>0</t>
        </is>
      </c>
      <c r="I17" s="4" t="inlineStr">
        <is>
          <t>1</t>
        </is>
      </c>
      <c r="J17" s="4" t="inlineStr">
        <is>
          <t>0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25 à 34 ans</t>
        </is>
      </c>
    </row>
    <row r="18">
      <c r="A18" s="5" t="inlineStr">
        <is>
          <t>N14</t>
        </is>
      </c>
      <c r="B18" s="5" t="inlineStr">
        <is>
          <t>Oui</t>
        </is>
      </c>
      <c r="C18" s="5" t="inlineStr">
        <is>
          <t>Rue, Marcory</t>
        </is>
      </c>
      <c r="D18" s="5" t="inlineStr">
        <is>
          <t>Sofitel Ivoire</t>
        </is>
      </c>
      <c r="E18" s="5" t="inlineStr">
        <is>
          <t>1</t>
        </is>
      </c>
      <c r="F18" s="5" t="inlineStr">
        <is>
          <t>0</t>
        </is>
      </c>
      <c r="G18" s="5" t="inlineStr">
        <is>
          <t>0</t>
        </is>
      </c>
      <c r="H18" s="5" t="inlineStr">
        <is>
          <t>0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</t>
        </is>
      </c>
      <c r="L18" s="5" t="inlineStr">
        <is>
          <t>0</t>
        </is>
      </c>
      <c r="M18" s="5" t="inlineStr">
        <is>
          <t>1</t>
        </is>
      </c>
      <c r="N18" s="5" t="inlineStr">
        <is>
          <t>1</t>
        </is>
      </c>
      <c r="O18" s="5" t="inlineStr">
        <is>
          <t>0</t>
        </is>
      </c>
      <c r="P18" s="5" t="inlineStr">
        <is>
          <t>1</t>
        </is>
      </c>
      <c r="Q18" s="5" t="inlineStr">
        <is>
          <t>35 à 49 ans</t>
        </is>
      </c>
    </row>
    <row r="19">
      <c r="A19" s="4" t="inlineStr">
        <is>
          <t>N15</t>
        </is>
      </c>
      <c r="B19" s="4" t="inlineStr">
        <is>
          <t>Oui</t>
        </is>
      </c>
      <c r="C19" s="4" t="inlineStr">
        <is>
          <t>Rue, Marcory</t>
        </is>
      </c>
      <c r="D19" s="4" t="inlineStr">
        <is>
          <t>Sofitel Ivoire</t>
        </is>
      </c>
      <c r="E19" s="4" t="inlineStr">
        <is>
          <t>1</t>
        </is>
      </c>
      <c r="F19" s="4" t="inlineStr">
        <is>
          <t>1</t>
        </is>
      </c>
      <c r="G19" s="4" t="inlineStr">
        <is>
          <t>1</t>
        </is>
      </c>
      <c r="H19" s="4" t="inlineStr">
        <is>
          <t>0</t>
        </is>
      </c>
      <c r="I19" s="4" t="inlineStr">
        <is>
          <t>0</t>
        </is>
      </c>
      <c r="J19" s="4" t="inlineStr">
        <is>
          <t>0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1</t>
        </is>
      </c>
      <c r="N19" s="4" t="inlineStr">
        <is>
          <t>0</t>
        </is>
      </c>
      <c r="O19" s="4" t="inlineStr">
        <is>
          <t>1</t>
        </is>
      </c>
      <c r="P19" s="4" t="inlineStr">
        <is>
          <t>0</t>
        </is>
      </c>
      <c r="Q19" s="4" t="inlineStr">
        <is>
          <t>25 à 34 ans</t>
        </is>
      </c>
    </row>
    <row r="20">
      <c r="A20" s="5" t="inlineStr">
        <is>
          <t>N16</t>
        </is>
      </c>
      <c r="B20" s="5" t="inlineStr">
        <is>
          <t>Oui</t>
        </is>
      </c>
      <c r="C20" s="5" t="inlineStr">
        <is>
          <t>Rue, Plateau</t>
        </is>
      </c>
      <c r="D20" s="5" t="inlineStr">
        <is>
          <t>Radisson Blu</t>
        </is>
      </c>
      <c r="E20" s="5" t="inlineStr">
        <is>
          <t>0</t>
        </is>
      </c>
      <c r="F20" s="5" t="inlineStr">
        <is>
          <t>0</t>
        </is>
      </c>
      <c r="G20" s="5" t="inlineStr">
        <is>
          <t>0</t>
        </is>
      </c>
      <c r="H20" s="5" t="inlineStr">
        <is>
          <t>0</t>
        </is>
      </c>
      <c r="I20" s="5" t="inlineStr">
        <is>
          <t>1</t>
        </is>
      </c>
      <c r="J20" s="5" t="inlineStr">
        <is>
          <t>0</t>
        </is>
      </c>
      <c r="K20" s="5" t="inlineStr">
        <is>
          <t>1</t>
        </is>
      </c>
      <c r="L20" s="5" t="inlineStr">
        <is>
          <t>0</t>
        </is>
      </c>
      <c r="M20" s="5" t="inlineStr">
        <is>
          <t>1</t>
        </is>
      </c>
      <c r="N20" s="5" t="inlineStr">
        <is>
          <t>1</t>
        </is>
      </c>
      <c r="O20" s="5" t="inlineStr">
        <is>
          <t>1</t>
        </is>
      </c>
      <c r="P20" s="5" t="inlineStr">
        <is>
          <t>0</t>
        </is>
      </c>
      <c r="Q20" s="5" t="inlineStr">
        <is>
          <t>50 ans et plus</t>
        </is>
      </c>
    </row>
    <row r="21">
      <c r="A21" s="4" t="inlineStr">
        <is>
          <t>N17</t>
        </is>
      </c>
      <c r="B21" s="4" t="inlineStr">
        <is>
          <t>Oui</t>
        </is>
      </c>
      <c r="C21" s="4" t="inlineStr">
        <is>
          <t>Rue, Marcory</t>
        </is>
      </c>
      <c r="D21" s="4" t="inlineStr">
        <is>
          <t>Azalaï</t>
        </is>
      </c>
      <c r="E21" s="4" t="inlineStr">
        <is>
          <t>0</t>
        </is>
      </c>
      <c r="F21" s="4" t="inlineStr">
        <is>
          <t>0</t>
        </is>
      </c>
      <c r="G21" s="4" t="inlineStr">
        <is>
          <t>1</t>
        </is>
      </c>
      <c r="H21" s="4" t="inlineStr">
        <is>
          <t>0</t>
        </is>
      </c>
      <c r="I21" s="4" t="inlineStr">
        <is>
          <t>0</t>
        </is>
      </c>
      <c r="J21" s="4" t="inlineStr">
        <is>
          <t>0</t>
        </is>
      </c>
      <c r="K21" s="4" t="inlineStr">
        <is>
          <t>1</t>
        </is>
      </c>
      <c r="L21" s="4" t="inlineStr">
        <is>
          <t>1</t>
        </is>
      </c>
      <c r="M21" s="4" t="inlineStr">
        <is>
          <t>1</t>
        </is>
      </c>
      <c r="N21" s="4" t="inlineStr">
        <is>
          <t>1</t>
        </is>
      </c>
      <c r="O21" s="4" t="inlineStr">
        <is>
          <t>0</t>
        </is>
      </c>
      <c r="P21" s="4" t="inlineStr">
        <is>
          <t>0</t>
        </is>
      </c>
      <c r="Q21" s="4" t="inlineStr">
        <is>
          <t>35 à 49 ans</t>
        </is>
      </c>
    </row>
    <row r="22">
      <c r="A22" s="5" t="inlineStr">
        <is>
          <t>N18</t>
        </is>
      </c>
      <c r="B22" s="5" t="inlineStr">
        <is>
          <t>Oui</t>
        </is>
      </c>
      <c r="C22" s="5" t="inlineStr">
        <is>
          <t>Formulaire en ligne</t>
        </is>
      </c>
      <c r="D22" s="5" t="inlineStr">
        <is>
          <t>Radisson Blu</t>
        </is>
      </c>
      <c r="E22" s="5" t="inlineStr">
        <is>
          <t>0</t>
        </is>
      </c>
      <c r="F22" s="5" t="inlineStr">
        <is>
          <t>1</t>
        </is>
      </c>
      <c r="G22" s="5" t="inlineStr">
        <is>
          <t>0</t>
        </is>
      </c>
      <c r="H22" s="5" t="inlineStr">
        <is>
          <t>0</t>
        </is>
      </c>
      <c r="I22" s="5" t="inlineStr">
        <is>
          <t>1</t>
        </is>
      </c>
      <c r="J22" s="5" t="inlineStr">
        <is>
          <t>0</t>
        </is>
      </c>
      <c r="K22" s="5" t="inlineStr">
        <is>
          <t>1</t>
        </is>
      </c>
      <c r="L22" s="5" t="inlineStr">
        <is>
          <t>1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1</t>
        </is>
      </c>
      <c r="P22" s="5" t="inlineStr">
        <is>
          <t>0</t>
        </is>
      </c>
      <c r="Q22" s="5" t="inlineStr">
        <is>
          <t>35 à 49 ans</t>
        </is>
      </c>
    </row>
    <row r="23">
      <c r="A23" s="4" t="inlineStr">
        <is>
          <t>N19</t>
        </is>
      </c>
      <c r="B23" s="4" t="inlineStr">
        <is>
          <t>Oui</t>
        </is>
      </c>
      <c r="C23" s="4" t="inlineStr">
        <is>
          <t>Formulaire en ligne</t>
        </is>
      </c>
      <c r="D23" s="4" t="inlineStr">
        <is>
          <t>Sofitel Ivoire</t>
        </is>
      </c>
      <c r="E23" s="4" t="inlineStr">
        <is>
          <t>1</t>
        </is>
      </c>
      <c r="F23" s="4" t="inlineStr">
        <is>
          <t>1</t>
        </is>
      </c>
      <c r="G23" s="4" t="inlineStr">
        <is>
          <t>0</t>
        </is>
      </c>
      <c r="H23" s="4" t="inlineStr">
        <is>
          <t>0</t>
        </is>
      </c>
      <c r="I23" s="4" t="inlineStr">
        <is>
          <t>0</t>
        </is>
      </c>
      <c r="J23" s="4" t="inlineStr">
        <is>
          <t>0</t>
        </is>
      </c>
      <c r="K23" s="4" t="inlineStr">
        <is>
          <t>1</t>
        </is>
      </c>
      <c r="L23" s="4" t="inlineStr">
        <is>
          <t>1</t>
        </is>
      </c>
      <c r="M23" s="4" t="inlineStr">
        <is>
          <t>0</t>
        </is>
      </c>
      <c r="N23" s="4" t="inlineStr">
        <is>
          <t>0</t>
        </is>
      </c>
      <c r="O23" s="4" t="inlineStr">
        <is>
          <t>0</t>
        </is>
      </c>
      <c r="P23" s="4" t="inlineStr">
        <is>
          <t>1</t>
        </is>
      </c>
      <c r="Q23" s="4" t="inlineStr">
        <is>
          <t>35 à 49 ans</t>
        </is>
      </c>
    </row>
    <row r="24">
      <c r="A24" s="5" t="inlineStr">
        <is>
          <t>N20</t>
        </is>
      </c>
      <c r="B24" s="5" t="inlineStr">
        <is>
          <t>Oui</t>
        </is>
      </c>
      <c r="C24" s="5" t="inlineStr">
        <is>
          <t>Rue, Plateau</t>
        </is>
      </c>
      <c r="D24" s="5" t="inlineStr">
        <is>
          <t>Pullman</t>
        </is>
      </c>
      <c r="E24" s="5" t="inlineStr">
        <is>
          <t>1</t>
        </is>
      </c>
      <c r="F24" s="5" t="inlineStr">
        <is>
          <t>1</t>
        </is>
      </c>
      <c r="G24" s="5" t="inlineStr">
        <is>
          <t>1</t>
        </is>
      </c>
      <c r="H24" s="5" t="inlineStr">
        <is>
          <t>0</t>
        </is>
      </c>
      <c r="I24" s="5" t="inlineStr">
        <is>
          <t>1</t>
        </is>
      </c>
      <c r="J24" s="5" t="inlineStr">
        <is>
          <t>0</t>
        </is>
      </c>
      <c r="K24" s="5" t="inlineStr">
        <is>
          <t>1</t>
        </is>
      </c>
      <c r="L24" s="5" t="inlineStr">
        <is>
          <t>1</t>
        </is>
      </c>
      <c r="M24" s="5" t="inlineStr">
        <is>
          <t>1</t>
        </is>
      </c>
      <c r="N24" s="5" t="inlineStr">
        <is>
          <t>0</t>
        </is>
      </c>
      <c r="O24" s="5" t="inlineStr">
        <is>
          <t>1</t>
        </is>
      </c>
      <c r="P24" s="5" t="inlineStr">
        <is>
          <t>1</t>
        </is>
      </c>
      <c r="Q24" s="5" t="inlineStr">
        <is>
          <t>50 ans et plus</t>
        </is>
      </c>
    </row>
    <row r="25">
      <c r="A25" s="4" t="inlineStr">
        <is>
          <t>N21</t>
        </is>
      </c>
      <c r="B25" s="4" t="inlineStr">
        <is>
          <t>Oui</t>
        </is>
      </c>
      <c r="C25" s="4" t="inlineStr">
        <is>
          <t>Formulaire en ligne</t>
        </is>
      </c>
      <c r="D25" s="4" t="inlineStr">
        <is>
          <t>Noom</t>
        </is>
      </c>
      <c r="E25" s="4" t="inlineStr">
        <is>
          <t>1</t>
        </is>
      </c>
      <c r="F25" s="4" t="inlineStr">
        <is>
          <t>0</t>
        </is>
      </c>
      <c r="G25" s="4" t="inlineStr">
        <is>
          <t>1</t>
        </is>
      </c>
      <c r="H25" s="4" t="inlineStr">
        <is>
          <t>1</t>
        </is>
      </c>
      <c r="I25" s="4" t="inlineStr">
        <is>
          <t>0</t>
        </is>
      </c>
      <c r="J25" s="4" t="inlineStr">
        <is>
          <t>0</t>
        </is>
      </c>
      <c r="K25" s="4" t="inlineStr">
        <is>
          <t>1</t>
        </is>
      </c>
      <c r="L25" s="4" t="inlineStr">
        <is>
          <t>0</t>
        </is>
      </c>
      <c r="M25" s="4" t="inlineStr">
        <is>
          <t>1</t>
        </is>
      </c>
      <c r="N25" s="4" t="inlineStr">
        <is>
          <t>1</t>
        </is>
      </c>
      <c r="O25" s="4" t="inlineStr">
        <is>
          <t>1</t>
        </is>
      </c>
      <c r="P25" s="4" t="inlineStr">
        <is>
          <t>1</t>
        </is>
      </c>
      <c r="Q25" s="4" t="inlineStr">
        <is>
          <t>50 ans et plus</t>
        </is>
      </c>
    </row>
    <row r="26">
      <c r="A26" s="5" t="inlineStr">
        <is>
          <t>N22</t>
        </is>
      </c>
      <c r="B26" s="5" t="inlineStr">
        <is>
          <t>Oui</t>
        </is>
      </c>
      <c r="C26" s="5" t="inlineStr">
        <is>
          <t>Formulaire en ligne</t>
        </is>
      </c>
      <c r="D26" s="5" t="inlineStr">
        <is>
          <t>Sofitel Ivoire</t>
        </is>
      </c>
      <c r="E26" s="5" t="inlineStr">
        <is>
          <t>1</t>
        </is>
      </c>
      <c r="F26" s="5" t="inlineStr">
        <is>
          <t>1</t>
        </is>
      </c>
      <c r="G26" s="5" t="inlineStr">
        <is>
          <t>0</t>
        </is>
      </c>
      <c r="H26" s="5" t="inlineStr">
        <is>
          <t>1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1</t>
        </is>
      </c>
      <c r="L26" s="5" t="inlineStr">
        <is>
          <t>1</t>
        </is>
      </c>
      <c r="M26" s="5" t="inlineStr">
        <is>
          <t>0</t>
        </is>
      </c>
      <c r="N26" s="5" t="inlineStr">
        <is>
          <t>1</t>
        </is>
      </c>
      <c r="O26" s="5" t="inlineStr">
        <is>
          <t>1</t>
        </is>
      </c>
      <c r="P26" s="5" t="inlineStr">
        <is>
          <t>0</t>
        </is>
      </c>
      <c r="Q26" s="5" t="inlineStr">
        <is>
          <t>25 à 34 ans</t>
        </is>
      </c>
    </row>
    <row r="27">
      <c r="A27" s="4" t="inlineStr">
        <is>
          <t>N23</t>
        </is>
      </c>
      <c r="B27" s="4" t="inlineStr">
        <is>
          <t>Oui</t>
        </is>
      </c>
      <c r="C27" s="4" t="inlineStr">
        <is>
          <t>Formulaire en ligne</t>
        </is>
      </c>
      <c r="D27" s="4" t="inlineStr">
        <is>
          <t>Noom</t>
        </is>
      </c>
      <c r="E27" s="4" t="inlineStr">
        <is>
          <t>1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1</t>
        </is>
      </c>
      <c r="I27" s="4" t="inlineStr">
        <is>
          <t>0</t>
        </is>
      </c>
      <c r="J27" s="4" t="inlineStr">
        <is>
          <t>0</t>
        </is>
      </c>
      <c r="K27" s="4" t="inlineStr">
        <is>
          <t>1</t>
        </is>
      </c>
      <c r="L27" s="4" t="inlineStr">
        <is>
          <t>0</t>
        </is>
      </c>
      <c r="M27" s="4" t="inlineStr">
        <is>
          <t>0</t>
        </is>
      </c>
      <c r="N27" s="4" t="inlineStr">
        <is>
          <t>1</t>
        </is>
      </c>
      <c r="O27" s="4" t="inlineStr">
        <is>
          <t>1</t>
        </is>
      </c>
      <c r="P27" s="4" t="inlineStr">
        <is>
          <t>1</t>
        </is>
      </c>
      <c r="Q27" s="4" t="inlineStr">
        <is>
          <t>18 à 24 ans</t>
        </is>
      </c>
    </row>
    <row r="28">
      <c r="A28" s="5" t="inlineStr">
        <is>
          <t>N24</t>
        </is>
      </c>
      <c r="B28" s="5" t="inlineStr">
        <is>
          <t>Oui</t>
        </is>
      </c>
      <c r="C28" s="5" t="inlineStr">
        <is>
          <t>Formulaire en ligne</t>
        </is>
      </c>
      <c r="D28" s="5" t="inlineStr">
        <is>
          <t>Pullman</t>
        </is>
      </c>
      <c r="E28" s="5" t="inlineStr">
        <is>
          <t>0</t>
        </is>
      </c>
      <c r="F28" s="5" t="inlineStr">
        <is>
          <t>1</t>
        </is>
      </c>
      <c r="G28" s="5" t="inlineStr">
        <is>
          <t>0</t>
        </is>
      </c>
      <c r="H28" s="5" t="inlineStr">
        <is>
          <t>0</t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1</t>
        </is>
      </c>
      <c r="L28" s="5" t="inlineStr">
        <is>
          <t>1</t>
        </is>
      </c>
      <c r="M28" s="5" t="inlineStr">
        <is>
          <t>1</t>
        </is>
      </c>
      <c r="N28" s="5" t="inlineStr">
        <is>
          <t>1</t>
        </is>
      </c>
      <c r="O28" s="5" t="inlineStr">
        <is>
          <t>0</t>
        </is>
      </c>
      <c r="P28" s="5" t="inlineStr">
        <is>
          <t>0</t>
        </is>
      </c>
      <c r="Q28" s="5" t="inlineStr">
        <is>
          <t>18 à 24 ans</t>
        </is>
      </c>
    </row>
    <row r="29">
      <c r="A29" s="4" t="inlineStr">
        <is>
          <t>N25</t>
        </is>
      </c>
      <c r="B29" s="4" t="inlineStr">
        <is>
          <t>Oui</t>
        </is>
      </c>
      <c r="C29" s="4" t="inlineStr">
        <is>
          <t>Rue, Marcory</t>
        </is>
      </c>
      <c r="D29" s="4" t="inlineStr">
        <is>
          <t>Radisson Blu</t>
        </is>
      </c>
      <c r="E29" s="4" t="inlineStr">
        <is>
          <t>1</t>
        </is>
      </c>
      <c r="F29" s="4" t="inlineStr">
        <is>
          <t>0</t>
        </is>
      </c>
      <c r="G29" s="4" t="inlineStr">
        <is>
          <t>0</t>
        </is>
      </c>
      <c r="H29" s="4" t="inlineStr">
        <is>
          <t>0</t>
        </is>
      </c>
      <c r="I29" s="4" t="inlineStr">
        <is>
          <t>1</t>
        </is>
      </c>
      <c r="J29" s="4" t="inlineStr">
        <is>
          <t>0</t>
        </is>
      </c>
      <c r="K29" s="4" t="inlineStr">
        <is>
          <t>1</t>
        </is>
      </c>
      <c r="L29" s="4" t="inlineStr">
        <is>
          <t>0</t>
        </is>
      </c>
      <c r="M29" s="4" t="inlineStr">
        <is>
          <t>0</t>
        </is>
      </c>
      <c r="N29" s="4" t="inlineStr">
        <is>
          <t>0</t>
        </is>
      </c>
      <c r="O29" s="4" t="inlineStr">
        <is>
          <t>1</t>
        </is>
      </c>
      <c r="P29" s="4" t="inlineStr">
        <is>
          <t>1</t>
        </is>
      </c>
      <c r="Q29" s="4" t="inlineStr">
        <is>
          <t>50 ans et plus</t>
        </is>
      </c>
    </row>
    <row r="30">
      <c r="A30" s="5" t="inlineStr">
        <is>
          <t>N26</t>
        </is>
      </c>
      <c r="B30" s="5" t="inlineStr">
        <is>
          <t>Oui</t>
        </is>
      </c>
      <c r="C30" s="5" t="inlineStr">
        <is>
          <t>Formulaire en ligne</t>
        </is>
      </c>
      <c r="D30" s="5" t="inlineStr">
        <is>
          <t>Noom</t>
        </is>
      </c>
      <c r="E30" s="5" t="inlineStr">
        <is>
          <t>1</t>
        </is>
      </c>
      <c r="F30" s="5" t="inlineStr">
        <is>
          <t>0</t>
        </is>
      </c>
      <c r="G30" s="5" t="inlineStr">
        <is>
          <t>0</t>
        </is>
      </c>
      <c r="H30" s="5" t="inlineStr">
        <is>
          <t>1</t>
        </is>
      </c>
      <c r="I30" s="5" t="inlineStr">
        <is>
          <t>1</t>
        </is>
      </c>
      <c r="J30" s="5" t="inlineStr">
        <is>
          <t>0</t>
        </is>
      </c>
      <c r="K30" s="5" t="inlineStr">
        <is>
          <t>1</t>
        </is>
      </c>
      <c r="L30" s="5" t="inlineStr">
        <is>
          <t>0</t>
        </is>
      </c>
      <c r="M30" s="5" t="inlineStr">
        <is>
          <t>0</t>
        </is>
      </c>
      <c r="N30" s="5" t="inlineStr">
        <is>
          <t>1</t>
        </is>
      </c>
      <c r="O30" s="5" t="inlineStr">
        <is>
          <t>1</t>
        </is>
      </c>
      <c r="P30" s="5" t="inlineStr">
        <is>
          <t>0</t>
        </is>
      </c>
      <c r="Q30" s="5" t="inlineStr">
        <is>
          <t>50 ans et plus</t>
        </is>
      </c>
    </row>
    <row r="31">
      <c r="A31" s="4" t="inlineStr">
        <is>
          <t>N27</t>
        </is>
      </c>
      <c r="B31" s="4" t="inlineStr">
        <is>
          <t>Oui</t>
        </is>
      </c>
      <c r="C31" s="4" t="inlineStr">
        <is>
          <t>Rue, Plateau</t>
        </is>
      </c>
      <c r="D31" s="4" t="inlineStr">
        <is>
          <t>Aucun</t>
        </is>
      </c>
      <c r="E31" s="4" t="inlineStr">
        <is>
          <t>0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0</t>
        </is>
      </c>
      <c r="I31" s="4" t="inlineStr">
        <is>
          <t>0</t>
        </is>
      </c>
      <c r="J31" s="4" t="inlineStr">
        <is>
          <t>0</t>
        </is>
      </c>
      <c r="K31" s="4" t="inlineStr">
        <is>
          <t>1</t>
        </is>
      </c>
      <c r="L31" s="4" t="inlineStr">
        <is>
          <t>1</t>
        </is>
      </c>
      <c r="M31" s="4" t="inlineStr">
        <is>
          <t>1</t>
        </is>
      </c>
      <c r="N31" s="4" t="inlineStr">
        <is>
          <t>0</t>
        </is>
      </c>
      <c r="O31" s="4" t="inlineStr">
        <is>
          <t>0</t>
        </is>
      </c>
      <c r="P31" s="4" t="inlineStr">
        <is>
          <t>1</t>
        </is>
      </c>
      <c r="Q31" s="4" t="inlineStr">
        <is>
          <t>35 à 49 ans</t>
        </is>
      </c>
    </row>
    <row r="32">
      <c r="A32" s="5" t="inlineStr">
        <is>
          <t>N28</t>
        </is>
      </c>
      <c r="B32" s="5" t="inlineStr">
        <is>
          <t>Oui</t>
        </is>
      </c>
      <c r="C32" s="5" t="inlineStr">
        <is>
          <t>Formulaire en ligne</t>
        </is>
      </c>
      <c r="D32" s="5" t="inlineStr">
        <is>
          <t>Noom</t>
        </is>
      </c>
      <c r="E32" s="5" t="inlineStr">
        <is>
          <t>1</t>
        </is>
      </c>
      <c r="F32" s="5" t="inlineStr">
        <is>
          <t>0</t>
        </is>
      </c>
      <c r="G32" s="5" t="inlineStr">
        <is>
          <t>0</t>
        </is>
      </c>
      <c r="H32" s="5" t="inlineStr">
        <is>
          <t>1</t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1</t>
        </is>
      </c>
      <c r="L32" s="5" t="inlineStr">
        <is>
          <t>0</t>
        </is>
      </c>
      <c r="M32" s="5" t="inlineStr">
        <is>
          <t>1</t>
        </is>
      </c>
      <c r="N32" s="5" t="inlineStr">
        <is>
          <t>1</t>
        </is>
      </c>
      <c r="O32" s="5" t="inlineStr">
        <is>
          <t>1</t>
        </is>
      </c>
      <c r="P32" s="5" t="inlineStr">
        <is>
          <t>1</t>
        </is>
      </c>
      <c r="Q32" s="5" t="inlineStr">
        <is>
          <t>25 à 34 ans</t>
        </is>
      </c>
    </row>
    <row r="33">
      <c r="A33" s="4" t="inlineStr">
        <is>
          <t>N29</t>
        </is>
      </c>
      <c r="B33" s="4" t="inlineStr">
        <is>
          <t>Oui</t>
        </is>
      </c>
      <c r="C33" s="4" t="inlineStr">
        <is>
          <t>Rue, Marcory</t>
        </is>
      </c>
      <c r="D33" s="4" t="inlineStr">
        <is>
          <t>Azalaï</t>
        </is>
      </c>
      <c r="E33" s="4" t="inlineStr">
        <is>
          <t>1</t>
        </is>
      </c>
      <c r="F33" s="4" t="inlineStr">
        <is>
          <t>0</t>
        </is>
      </c>
      <c r="G33" s="4" t="inlineStr">
        <is>
          <t>1</t>
        </is>
      </c>
      <c r="H33" s="4" t="inlineStr">
        <is>
          <t>0</t>
        </is>
      </c>
      <c r="I33" s="4" t="inlineStr">
        <is>
          <t>0</t>
        </is>
      </c>
      <c r="J33" s="4" t="inlineStr">
        <is>
          <t>0</t>
        </is>
      </c>
      <c r="K33" s="4" t="inlineStr">
        <is>
          <t>1</t>
        </is>
      </c>
      <c r="L33" s="4" t="inlineStr">
        <is>
          <t>0</t>
        </is>
      </c>
      <c r="M33" s="4" t="inlineStr">
        <is>
          <t>1</t>
        </is>
      </c>
      <c r="N33" s="4" t="inlineStr">
        <is>
          <t>1</t>
        </is>
      </c>
      <c r="O33" s="4" t="inlineStr">
        <is>
          <t>0</t>
        </is>
      </c>
      <c r="P33" s="4" t="inlineStr">
        <is>
          <t>1</t>
        </is>
      </c>
      <c r="Q33" s="4" t="inlineStr">
        <is>
          <t>50 ans et plus</t>
        </is>
      </c>
    </row>
    <row r="34">
      <c r="A34" s="5" t="inlineStr">
        <is>
          <t>N30</t>
        </is>
      </c>
      <c r="B34" s="5" t="inlineStr">
        <is>
          <t>Oui</t>
        </is>
      </c>
      <c r="C34" s="5" t="inlineStr">
        <is>
          <t>Rue, Plateau</t>
        </is>
      </c>
      <c r="D34" s="5" t="inlineStr">
        <is>
          <t>Aucun</t>
        </is>
      </c>
      <c r="E34" s="5" t="inlineStr">
        <is>
          <t>0</t>
        </is>
      </c>
      <c r="F34" s="5" t="inlineStr">
        <is>
          <t>0</t>
        </is>
      </c>
      <c r="G34" s="5" t="inlineStr">
        <is>
          <t>0</t>
        </is>
      </c>
      <c r="H34" s="5" t="inlineStr">
        <is>
          <t>0</t>
        </is>
      </c>
      <c r="I34" s="5" t="inlineStr">
        <is>
          <t>1</t>
        </is>
      </c>
      <c r="J34" s="5" t="inlineStr">
        <is>
          <t>0</t>
        </is>
      </c>
      <c r="K34" s="5" t="inlineStr">
        <is>
          <t>1</t>
        </is>
      </c>
      <c r="L34" s="5" t="inlineStr">
        <is>
          <t>1</t>
        </is>
      </c>
      <c r="M34" s="5" t="inlineStr">
        <is>
          <t>0</t>
        </is>
      </c>
      <c r="N34" s="5" t="inlineStr">
        <is>
          <t>1</t>
        </is>
      </c>
      <c r="O34" s="5" t="inlineStr">
        <is>
          <t>1</t>
        </is>
      </c>
      <c r="P34" s="5" t="inlineStr">
        <is>
          <t>0</t>
        </is>
      </c>
      <c r="Q34" s="5" t="inlineStr">
        <is>
          <t>18 à 24 ans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</cols>
  <sheetData>
    <row r="1">
      <c r="A1" s="1" t="inlineStr">
        <is>
          <t>AZALAÏ HÔTEL ABIDJAN</t>
        </is>
      </c>
    </row>
    <row r="2">
      <c r="A2" s="2" t="inlineStr">
        <is>
          <t>Comparaison d’une vague à l’autre (même méthode)</t>
        </is>
      </c>
    </row>
    <row r="4">
      <c r="A4" s="3" t="inlineStr">
        <is>
          <t>Indicateur</t>
        </is>
      </c>
      <c r="B4" s="3" t="inlineStr">
        <is>
          <t>Vague 1</t>
        </is>
      </c>
      <c r="C4" s="3" t="inlineStr">
        <is>
          <t>Vague 2</t>
        </is>
      </c>
      <c r="D4" s="3" t="inlineStr">
        <is>
          <t>Écart</t>
        </is>
      </c>
    </row>
    <row r="5">
      <c r="A5" s="4" t="inlineStr">
        <is>
          <t>Notoriété spontanée Azalaï (%)</t>
        </is>
      </c>
      <c r="B5" s="4">
        <f>Résultats!B12</f>
        <v/>
      </c>
      <c r="C5" s="4" t="inlineStr"/>
      <c r="D5" s="4">
        <f>C5-B5</f>
        <v/>
      </c>
    </row>
    <row r="6">
      <c r="A6" s="5" t="inlineStr">
        <is>
          <t>Notoriété assistée Azalaï (%)</t>
        </is>
      </c>
      <c r="B6" s="5">
        <f>Résultats!B14</f>
        <v/>
      </c>
      <c r="C6" s="5" t="inlineStr"/>
      <c r="D6" s="5">
        <f>C6-B6</f>
        <v/>
      </c>
    </row>
    <row r="7">
      <c r="A7" s="4" t="inlineStr">
        <is>
          <t>Note de recommandation</t>
        </is>
      </c>
      <c r="B7" s="4">
        <f>Résultats!B8</f>
        <v/>
      </c>
      <c r="C7" s="4" t="inlineStr"/>
      <c r="D7" s="4">
        <f>C7-B7</f>
        <v/>
      </c>
    </row>
    <row r="8">
      <c r="A8" s="5" t="inlineStr">
        <is>
          <t>Note moyenne</t>
        </is>
      </c>
      <c r="B8" s="5">
        <f>Résultats!B10</f>
        <v/>
      </c>
      <c r="C8" s="5" t="inlineStr"/>
      <c r="D8" s="5">
        <f>C8-B8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2026-10-20T22:53:41Z</dcterms:created>
  <dcterms:modified xmlns:dcterms="http://purl.org/dc/terms/" xmlns:xsi="http://www.w3.org/2001/XMLSchema-instance" xsi:type="dcterms:W3CDTF">2026-10-20T22:53:41Z</dcterms:modified>
</cp:coreProperties>
</file>