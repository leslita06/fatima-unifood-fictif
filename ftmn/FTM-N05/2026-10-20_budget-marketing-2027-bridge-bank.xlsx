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Revue mensuelle" sheetId="2" state="visible" r:id="rId2"/>
    <sheet xmlns:r="http://schemas.openxmlformats.org/officeDocument/2006/relationships" name="Temps f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88888"/>
      <sz val="9"/>
    </font>
    <font>
      <b val="1"/>
      <color rgb="00FF3A03"/>
      <sz val="15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F3A03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BRIDGE BANK GROUP</t>
        </is>
      </c>
    </row>
    <row r="2">
      <c r="A2" s="2" t="inlineStr">
        <is>
          <t>Budget marketing 2027 par canal et par mois (milliers FCFA TTC)</t>
        </is>
      </c>
    </row>
    <row r="4">
      <c r="A4" s="3" t="inlineStr">
        <is>
          <t>Poste</t>
        </is>
      </c>
      <c r="B4" s="3" t="inlineStr">
        <is>
          <t>Canal</t>
        </is>
      </c>
      <c r="C4" s="3" t="inlineStr">
        <is>
          <t>Chantier</t>
        </is>
      </c>
      <c r="D4" s="3" t="inlineStr">
        <is>
          <t>Étage</t>
        </is>
      </c>
      <c r="E4" s="3" t="inlineStr">
        <is>
          <t>Janv.</t>
        </is>
      </c>
      <c r="F4" s="3" t="inlineStr">
        <is>
          <t>Févr.</t>
        </is>
      </c>
      <c r="G4" s="3" t="inlineStr">
        <is>
          <t>Mars</t>
        </is>
      </c>
      <c r="H4" s="3" t="inlineStr">
        <is>
          <t>Avr.</t>
        </is>
      </c>
      <c r="I4" s="3" t="inlineStr">
        <is>
          <t>Mai</t>
        </is>
      </c>
      <c r="J4" s="3" t="inlineStr">
        <is>
          <t>Juin</t>
        </is>
      </c>
      <c r="K4" s="3" t="inlineStr">
        <is>
          <t>Juil.</t>
        </is>
      </c>
      <c r="L4" s="3" t="inlineStr">
        <is>
          <t>Août</t>
        </is>
      </c>
      <c r="M4" s="3" t="inlineStr">
        <is>
          <t>Sept.</t>
        </is>
      </c>
      <c r="N4" s="3" t="inlineStr">
        <is>
          <t>Oct.</t>
        </is>
      </c>
      <c r="O4" s="3" t="inlineStr">
        <is>
          <t>Nov.</t>
        </is>
      </c>
      <c r="P4" s="3" t="inlineStr">
        <is>
          <t>Déc.</t>
        </is>
      </c>
      <c r="Q4" s="3" t="inlineStr">
        <is>
          <t>Total TTC</t>
        </is>
      </c>
      <c r="R4" s="3" t="inlineStr">
        <is>
          <t>HT (TVA 18 % à vérifier)</t>
        </is>
      </c>
      <c r="S4" s="3" t="inlineStr">
        <is>
          <t>TVA</t>
        </is>
      </c>
    </row>
    <row r="5">
      <c r="A5" s="4" t="inlineStr">
        <is>
          <t>Publicité en ligne</t>
        </is>
      </c>
      <c r="B5" s="4" t="inlineStr">
        <is>
          <t>Meta, Google, LinkedIn</t>
        </is>
      </c>
      <c r="C5" s="4" t="inlineStr">
        <is>
          <t>Comptes particuliers et diaspora</t>
        </is>
      </c>
      <c r="D5" s="4" t="inlineStr">
        <is>
          <t>Contacts</t>
        </is>
      </c>
      <c r="E5" s="4" t="n">
        <v>11400</v>
      </c>
      <c r="F5" s="4" t="n">
        <v>15200</v>
      </c>
      <c r="G5" s="4" t="n">
        <v>17100</v>
      </c>
      <c r="H5" s="4" t="n">
        <v>13300</v>
      </c>
      <c r="I5" s="4" t="n">
        <v>15200</v>
      </c>
      <c r="J5" s="4" t="n">
        <v>17100</v>
      </c>
      <c r="K5" s="4" t="n">
        <v>13300</v>
      </c>
      <c r="L5" s="4" t="n">
        <v>15200</v>
      </c>
      <c r="M5" s="4" t="n">
        <v>20900</v>
      </c>
      <c r="N5" s="4" t="n">
        <v>19000</v>
      </c>
      <c r="O5" s="4" t="n">
        <v>15200</v>
      </c>
      <c r="P5" s="4" t="n">
        <v>17100</v>
      </c>
      <c r="Q5" s="4">
        <f>SUM(E5:P5)</f>
        <v/>
      </c>
      <c r="R5" s="4">
        <f>ROUND(Q5/1.18,0)</f>
        <v/>
      </c>
      <c r="S5" s="4">
        <f>Q5-R5</f>
        <v/>
      </c>
    </row>
    <row r="6">
      <c r="A6" s="5" t="inlineStr">
        <is>
          <t>Médias hors ligne</t>
        </is>
      </c>
      <c r="B6" s="5" t="inlineStr">
        <is>
          <t>Radio (Abidjan et grandes villes)</t>
        </is>
      </c>
      <c r="C6" s="5" t="inlineStr">
        <is>
          <t>Notoriété et comptes</t>
        </is>
      </c>
      <c r="D6" s="5" t="inlineStr">
        <is>
          <t>Notoriété</t>
        </is>
      </c>
      <c r="E6" s="5" t="n">
        <v>0</v>
      </c>
      <c r="F6" s="5" t="n">
        <v>10800</v>
      </c>
      <c r="G6" s="5" t="n">
        <v>10800</v>
      </c>
      <c r="H6" s="5" t="n">
        <v>0</v>
      </c>
      <c r="I6" s="5" t="n">
        <v>9000</v>
      </c>
      <c r="J6" s="5" t="n">
        <v>7200</v>
      </c>
      <c r="K6" s="5" t="n">
        <v>0</v>
      </c>
      <c r="L6" s="5" t="n">
        <v>9000</v>
      </c>
      <c r="M6" s="5" t="n">
        <v>14400</v>
      </c>
      <c r="N6" s="5" t="n">
        <v>12600</v>
      </c>
      <c r="O6" s="5" t="n">
        <v>7200</v>
      </c>
      <c r="P6" s="5" t="n">
        <v>9000</v>
      </c>
      <c r="Q6" s="5">
        <f>SUM(E6:P6)</f>
        <v/>
      </c>
      <c r="R6" s="5">
        <f>ROUND(Q6/1.18,0)</f>
        <v/>
      </c>
      <c r="S6" s="5">
        <f>Q6-R6</f>
        <v/>
      </c>
    </row>
    <row r="7">
      <c r="A7" s="4" t="inlineStr">
        <is>
          <t>Médias hors ligne</t>
        </is>
      </c>
      <c r="B7" s="4" t="inlineStr">
        <is>
          <t>Télévision</t>
        </is>
      </c>
      <c r="C7" s="4" t="inlineStr">
        <is>
          <t>Notoriété</t>
        </is>
      </c>
      <c r="D7" s="4" t="inlineStr">
        <is>
          <t>Notoriété</t>
        </is>
      </c>
      <c r="E7" s="4" t="n">
        <v>0</v>
      </c>
      <c r="F7" s="4" t="n">
        <v>0</v>
      </c>
      <c r="G7" s="4" t="n">
        <v>24000</v>
      </c>
      <c r="H7" s="4" t="n">
        <v>0</v>
      </c>
      <c r="I7" s="4" t="n">
        <v>18000</v>
      </c>
      <c r="J7" s="4" t="n">
        <v>0</v>
      </c>
      <c r="K7" s="4" t="n">
        <v>0</v>
      </c>
      <c r="L7" s="4" t="n">
        <v>18000</v>
      </c>
      <c r="M7" s="4" t="n">
        <v>30000</v>
      </c>
      <c r="N7" s="4" t="n">
        <v>0</v>
      </c>
      <c r="O7" s="4" t="n">
        <v>0</v>
      </c>
      <c r="P7" s="4" t="n">
        <v>30000</v>
      </c>
      <c r="Q7" s="4">
        <f>SUM(E7:P7)</f>
        <v/>
      </c>
      <c r="R7" s="4">
        <f>ROUND(Q7/1.18,0)</f>
        <v/>
      </c>
      <c r="S7" s="4">
        <f>Q7-R7</f>
        <v/>
      </c>
    </row>
    <row r="8">
      <c r="A8" s="5" t="inlineStr">
        <is>
          <t>Médias hors ligne</t>
        </is>
      </c>
      <c r="B8" s="5" t="inlineStr">
        <is>
          <t>Affichage Abidjan</t>
        </is>
      </c>
      <c r="C8" s="5" t="inlineStr">
        <is>
          <t>Notoriété et agences</t>
        </is>
      </c>
      <c r="D8" s="5" t="inlineStr">
        <is>
          <t>Notoriété</t>
        </is>
      </c>
      <c r="E8" s="5" t="n">
        <v>0</v>
      </c>
      <c r="F8" s="5" t="n">
        <v>0</v>
      </c>
      <c r="G8" s="5" t="n">
        <v>27500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44000</v>
      </c>
      <c r="N8" s="5" t="n">
        <v>0</v>
      </c>
      <c r="O8" s="5" t="n">
        <v>0</v>
      </c>
      <c r="P8" s="5" t="n">
        <v>38500</v>
      </c>
      <c r="Q8" s="5">
        <f>SUM(E8:P8)</f>
        <v/>
      </c>
      <c r="R8" s="5">
        <f>ROUND(Q8/1.18,0)</f>
        <v/>
      </c>
      <c r="S8" s="5">
        <f>Q8-R8</f>
        <v/>
      </c>
    </row>
    <row r="9">
      <c r="A9" s="4" t="inlineStr">
        <is>
          <t>Événements et terrain</t>
        </is>
      </c>
      <c r="B9" s="4" t="inlineStr">
        <is>
          <t>Forums PME, salons, activations en agence</t>
        </is>
      </c>
      <c r="C9" s="4" t="inlineStr">
        <is>
          <t>Clients PME</t>
        </is>
      </c>
      <c r="D9" s="4" t="inlineStr">
        <is>
          <t>Contacts</t>
        </is>
      </c>
      <c r="E9" s="4" t="n">
        <v>0</v>
      </c>
      <c r="F9" s="4" t="n">
        <v>4750</v>
      </c>
      <c r="G9" s="4" t="n">
        <v>9500</v>
      </c>
      <c r="H9" s="4" t="n">
        <v>14250</v>
      </c>
      <c r="I9" s="4" t="n">
        <v>9500</v>
      </c>
      <c r="J9" s="4" t="n">
        <v>9500</v>
      </c>
      <c r="K9" s="4" t="n">
        <v>0</v>
      </c>
      <c r="L9" s="4" t="n">
        <v>0</v>
      </c>
      <c r="M9" s="4" t="n">
        <v>9500</v>
      </c>
      <c r="N9" s="4" t="n">
        <v>19000</v>
      </c>
      <c r="O9" s="4" t="n">
        <v>14250</v>
      </c>
      <c r="P9" s="4" t="n">
        <v>4750</v>
      </c>
      <c r="Q9" s="4">
        <f>SUM(E9:P9)</f>
        <v/>
      </c>
      <c r="R9" s="4">
        <f>ROUND(Q9/1.18,0)</f>
        <v/>
      </c>
      <c r="S9" s="4">
        <f>Q9-R9</f>
        <v/>
      </c>
    </row>
    <row r="10">
      <c r="A10" s="5" t="inlineStr">
        <is>
          <t>Contenus et création</t>
        </is>
      </c>
      <c r="B10" s="5" t="inlineStr">
        <is>
          <t>Photos, vidéos, visuels, rédaction</t>
        </is>
      </c>
      <c r="C10" s="5" t="inlineStr">
        <is>
          <t>Tous</t>
        </is>
      </c>
      <c r="D10" s="5" t="inlineStr">
        <is>
          <t>Tous</t>
        </is>
      </c>
      <c r="E10" s="5" t="n">
        <v>4200</v>
      </c>
      <c r="F10" s="5" t="n">
        <v>5600</v>
      </c>
      <c r="G10" s="5" t="n">
        <v>6300</v>
      </c>
      <c r="H10" s="5" t="n">
        <v>4900</v>
      </c>
      <c r="I10" s="5" t="n">
        <v>5600</v>
      </c>
      <c r="J10" s="5" t="n">
        <v>6300</v>
      </c>
      <c r="K10" s="5" t="n">
        <v>4900</v>
      </c>
      <c r="L10" s="5" t="n">
        <v>5600</v>
      </c>
      <c r="M10" s="5" t="n">
        <v>7700</v>
      </c>
      <c r="N10" s="5" t="n">
        <v>7000</v>
      </c>
      <c r="O10" s="5" t="n">
        <v>5600</v>
      </c>
      <c r="P10" s="5" t="n">
        <v>6300</v>
      </c>
      <c r="Q10" s="5">
        <f>SUM(E10:P10)</f>
        <v/>
      </c>
      <c r="R10" s="5">
        <f>ROUND(Q10/1.18,0)</f>
        <v/>
      </c>
      <c r="S10" s="5">
        <f>Q10-R10</f>
        <v/>
      </c>
    </row>
    <row r="11">
      <c r="A11" s="4" t="inlineStr">
        <is>
          <t>Relations presse et partenariats</t>
        </is>
      </c>
      <c r="B11" s="4" t="inlineStr">
        <is>
          <t>Presse économique, sponsoring</t>
        </is>
      </c>
      <c r="C11" s="4" t="inlineStr">
        <is>
          <t>Image et PME</t>
        </is>
      </c>
      <c r="D11" s="4" t="inlineStr">
        <is>
          <t>Notoriété</t>
        </is>
      </c>
      <c r="E11" s="4" t="n">
        <v>3000</v>
      </c>
      <c r="F11" s="4" t="n">
        <v>3000</v>
      </c>
      <c r="G11" s="4" t="n">
        <v>6000</v>
      </c>
      <c r="H11" s="4" t="n">
        <v>3000</v>
      </c>
      <c r="I11" s="4" t="n">
        <v>6000</v>
      </c>
      <c r="J11" s="4" t="n">
        <v>6000</v>
      </c>
      <c r="K11" s="4" t="n">
        <v>3000</v>
      </c>
      <c r="L11" s="4" t="n">
        <v>9000</v>
      </c>
      <c r="M11" s="4" t="n">
        <v>6000</v>
      </c>
      <c r="N11" s="4" t="n">
        <v>6000</v>
      </c>
      <c r="O11" s="4" t="n">
        <v>3000</v>
      </c>
      <c r="P11" s="4" t="n">
        <v>6000</v>
      </c>
      <c r="Q11" s="4">
        <f>SUM(E11:P11)</f>
        <v/>
      </c>
      <c r="R11" s="4">
        <f>ROUND(Q11/1.18,0)</f>
        <v/>
      </c>
      <c r="S11" s="4">
        <f>Q11-R11</f>
        <v/>
      </c>
    </row>
    <row r="12">
      <c r="A12" s="5" t="inlineStr">
        <is>
          <t>Outils</t>
        </is>
      </c>
      <c r="B12" s="5" t="inlineStr">
        <is>
          <t>CRM, emailing, site</t>
        </is>
      </c>
      <c r="C12" s="5" t="inlineStr">
        <is>
          <t>Fidélisation</t>
        </is>
      </c>
      <c r="D12" s="5" t="inlineStr">
        <is>
          <t>Fidélisation</t>
        </is>
      </c>
      <c r="E12" s="5" t="n">
        <v>2916</v>
      </c>
      <c r="F12" s="5" t="n">
        <v>2916</v>
      </c>
      <c r="G12" s="5" t="n">
        <v>2916</v>
      </c>
      <c r="H12" s="5" t="n">
        <v>2916</v>
      </c>
      <c r="I12" s="5" t="n">
        <v>2916</v>
      </c>
      <c r="J12" s="5" t="n">
        <v>2916</v>
      </c>
      <c r="K12" s="5" t="n">
        <v>2916</v>
      </c>
      <c r="L12" s="5" t="n">
        <v>2916</v>
      </c>
      <c r="M12" s="5" t="n">
        <v>2916</v>
      </c>
      <c r="N12" s="5" t="n">
        <v>2916</v>
      </c>
      <c r="O12" s="5" t="n">
        <v>2916</v>
      </c>
      <c r="P12" s="5" t="n">
        <v>2924</v>
      </c>
      <c r="Q12" s="5">
        <f>SUM(E12:P12)</f>
        <v/>
      </c>
      <c r="R12" s="5">
        <f>ROUND(Q12/1.18,0)</f>
        <v/>
      </c>
      <c r="S12" s="5">
        <f>Q12-R12</f>
        <v/>
      </c>
    </row>
    <row r="13">
      <c r="A13" s="4" t="inlineStr">
        <is>
          <t>Études</t>
        </is>
      </c>
      <c r="B13" s="4" t="inlineStr">
        <is>
          <t>Notoriété et satisfaction clients</t>
        </is>
      </c>
      <c r="C13" s="4" t="inlineStr">
        <is>
          <t>Mesure</t>
        </is>
      </c>
      <c r="D13" s="4" t="inlineStr">
        <is>
          <t>Mesure</t>
        </is>
      </c>
      <c r="E13" s="4" t="n">
        <v>0</v>
      </c>
      <c r="F13" s="4" t="n">
        <v>0</v>
      </c>
      <c r="G13" s="4" t="n">
        <v>12500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12500</v>
      </c>
      <c r="O13" s="4" t="n">
        <v>0</v>
      </c>
      <c r="P13" s="4" t="n">
        <v>0</v>
      </c>
      <c r="Q13" s="4">
        <f>SUM(E13:P13)</f>
        <v/>
      </c>
      <c r="R13" s="4">
        <f>ROUND(Q13/1.18,0)</f>
        <v/>
      </c>
      <c r="S13" s="4">
        <f>Q13-R13</f>
        <v/>
      </c>
    </row>
    <row r="14">
      <c r="A14" s="5" t="inlineStr">
        <is>
          <t>Prestataires</t>
        </is>
      </c>
      <c r="B14" s="5" t="inlineStr">
        <is>
          <t>Agence créative et média</t>
        </is>
      </c>
      <c r="C14" s="5" t="inlineStr">
        <is>
          <t>Tous</t>
        </is>
      </c>
      <c r="D14" s="5" t="inlineStr">
        <is>
          <t>Tous</t>
        </is>
      </c>
      <c r="E14" s="5" t="n">
        <v>3332</v>
      </c>
      <c r="F14" s="5" t="n">
        <v>3332</v>
      </c>
      <c r="G14" s="5" t="n">
        <v>3332</v>
      </c>
      <c r="H14" s="5" t="n">
        <v>3332</v>
      </c>
      <c r="I14" s="5" t="n">
        <v>3332</v>
      </c>
      <c r="J14" s="5" t="n">
        <v>3332</v>
      </c>
      <c r="K14" s="5" t="n">
        <v>3332</v>
      </c>
      <c r="L14" s="5" t="n">
        <v>3332</v>
      </c>
      <c r="M14" s="5" t="n">
        <v>3332</v>
      </c>
      <c r="N14" s="5" t="n">
        <v>3332</v>
      </c>
      <c r="O14" s="5" t="n">
        <v>3332</v>
      </c>
      <c r="P14" s="5" t="n">
        <v>3348</v>
      </c>
      <c r="Q14" s="5">
        <f>SUM(E14:P14)</f>
        <v/>
      </c>
      <c r="R14" s="5">
        <f>ROUND(Q14/1.18,0)</f>
        <v/>
      </c>
      <c r="S14" s="5">
        <f>Q14-R14</f>
        <v/>
      </c>
    </row>
    <row r="15">
      <c r="A15" s="4" t="inlineStr">
        <is>
          <t>Réserve</t>
        </is>
      </c>
      <c r="B15" s="4" t="inlineStr">
        <is>
          <t>Tests et imprévus</t>
        </is>
      </c>
      <c r="C15" s="4" t="inlineStr"/>
      <c r="D15" s="4" t="inlineStr"/>
      <c r="E15" s="4" t="n">
        <v>1250</v>
      </c>
      <c r="F15" s="4" t="n">
        <v>1250</v>
      </c>
      <c r="G15" s="4" t="n">
        <v>1250</v>
      </c>
      <c r="H15" s="4" t="n">
        <v>1250</v>
      </c>
      <c r="I15" s="4" t="n">
        <v>1250</v>
      </c>
      <c r="J15" s="4" t="n">
        <v>1250</v>
      </c>
      <c r="K15" s="4" t="n">
        <v>1250</v>
      </c>
      <c r="L15" s="4" t="n">
        <v>1250</v>
      </c>
      <c r="M15" s="4" t="n">
        <v>1250</v>
      </c>
      <c r="N15" s="4" t="n">
        <v>1250</v>
      </c>
      <c r="O15" s="4" t="n">
        <v>1250</v>
      </c>
      <c r="P15" s="4" t="n">
        <v>1250</v>
      </c>
      <c r="Q15" s="4">
        <f>SUM(E15:P15)</f>
        <v/>
      </c>
      <c r="R15" s="4">
        <f>ROUND(Q15/1.18,0)</f>
        <v/>
      </c>
      <c r="S15" s="4">
        <f>Q15-R15</f>
        <v/>
      </c>
    </row>
    <row r="16">
      <c r="A16" s="5" t="inlineStr">
        <is>
          <t>Total</t>
        </is>
      </c>
      <c r="B16" s="5" t="inlineStr"/>
      <c r="C16" s="5" t="inlineStr"/>
      <c r="D16" s="5" t="inlineStr"/>
      <c r="E16" s="5">
        <f>SUM(E5:E15)</f>
        <v/>
      </c>
      <c r="F16" s="5">
        <f>SUM(F5:F15)</f>
        <v/>
      </c>
      <c r="G16" s="5">
        <f>SUM(G5:G15)</f>
        <v/>
      </c>
      <c r="H16" s="5">
        <f>SUM(H5:H15)</f>
        <v/>
      </c>
      <c r="I16" s="5">
        <f>SUM(I5:I15)</f>
        <v/>
      </c>
      <c r="J16" s="5">
        <f>SUM(J5:J15)</f>
        <v/>
      </c>
      <c r="K16" s="5">
        <f>SUM(K5:K15)</f>
        <v/>
      </c>
      <c r="L16" s="5">
        <f>SUM(L5:L15)</f>
        <v/>
      </c>
      <c r="M16" s="5">
        <f>SUM(M5:M15)</f>
        <v/>
      </c>
      <c r="N16" s="5">
        <f>SUM(N5:N15)</f>
        <v/>
      </c>
      <c r="O16" s="5">
        <f>SUM(O5:O15)</f>
        <v/>
      </c>
      <c r="P16" s="5">
        <f>SUM(P5:P15)</f>
        <v/>
      </c>
      <c r="Q16" s="5">
        <f>SUM(Q5:Q15)</f>
        <v/>
      </c>
      <c r="R16" s="5">
        <f>SUM(R5:R15)</f>
        <v/>
      </c>
      <c r="S16" s="5">
        <f>SUM(S5:S15)</f>
        <v/>
      </c>
    </row>
    <row r="18">
      <c r="A18" s="6" t="inlineStr">
        <is>
          <t>Objectifs et enveloppe fournis par le testeur : fictifs. Montants = enveloppes, à confirmer par devis.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BRIDGE BANK GROUP</t>
        </is>
      </c>
    </row>
    <row r="2">
      <c r="A2" s="2" t="inlineStr">
        <is>
          <t>Revue budgétaire : prévu, engagé, facturé, payé</t>
        </is>
      </c>
    </row>
    <row r="4">
      <c r="A4" s="3" t="inlineStr">
        <is>
          <t>Poste</t>
        </is>
      </c>
      <c r="B4" s="3" t="inlineStr">
        <is>
          <t>Canal</t>
        </is>
      </c>
      <c r="C4" s="3" t="inlineStr">
        <is>
          <t>Prévu (voté)</t>
        </is>
      </c>
      <c r="D4" s="3" t="inlineStr">
        <is>
          <t>Engagé</t>
        </is>
      </c>
      <c r="E4" s="3" t="inlineStr">
        <is>
          <t>Facturé</t>
        </is>
      </c>
      <c r="F4" s="3" t="inlineStr">
        <is>
          <t>Payé</t>
        </is>
      </c>
      <c r="G4" s="3" t="inlineStr">
        <is>
          <t>Écart prévu - engagé</t>
        </is>
      </c>
      <c r="H4" s="3" t="inlineStr">
        <is>
          <t>Alerte (seuil 10 %)</t>
        </is>
      </c>
      <c r="I4" s="3" t="inlineStr">
        <is>
          <t>Cause et proposition</t>
        </is>
      </c>
    </row>
    <row r="5">
      <c r="A5" s="4" t="inlineStr">
        <is>
          <t>Publicité en ligne</t>
        </is>
      </c>
      <c r="B5" s="4" t="inlineStr">
        <is>
          <t>Meta, Google, LinkedIn</t>
        </is>
      </c>
      <c r="C5" s="4">
        <f>Budget!Q5</f>
        <v/>
      </c>
      <c r="D5" s="4" t="inlineStr"/>
      <c r="E5" s="4" t="inlineStr"/>
      <c r="F5" s="4" t="inlineStr"/>
      <c r="G5" s="4">
        <f>C5-D5</f>
        <v/>
      </c>
      <c r="H5" s="4">
        <f>IF(C5=0,"",IF(ABS(G5)/C5&gt;0.1,"À expliquer",""))</f>
        <v/>
      </c>
      <c r="I5" s="4" t="inlineStr"/>
    </row>
    <row r="6">
      <c r="A6" s="5" t="inlineStr">
        <is>
          <t>Médias hors ligne</t>
        </is>
      </c>
      <c r="B6" s="5" t="inlineStr">
        <is>
          <t>Radio (Abidjan et grandes villes)</t>
        </is>
      </c>
      <c r="C6" s="5">
        <f>Budget!Q6</f>
        <v/>
      </c>
      <c r="D6" s="5" t="inlineStr"/>
      <c r="E6" s="5" t="inlineStr"/>
      <c r="F6" s="5" t="inlineStr"/>
      <c r="G6" s="5">
        <f>C6-D6</f>
        <v/>
      </c>
      <c r="H6" s="5">
        <f>IF(C6=0,"",IF(ABS(G6)/C6&gt;0.1,"À expliquer",""))</f>
        <v/>
      </c>
      <c r="I6" s="5" t="inlineStr"/>
    </row>
    <row r="7">
      <c r="A7" s="4" t="inlineStr">
        <is>
          <t>Médias hors ligne</t>
        </is>
      </c>
      <c r="B7" s="4" t="inlineStr">
        <is>
          <t>Télévision</t>
        </is>
      </c>
      <c r="C7" s="4">
        <f>Budget!Q7</f>
        <v/>
      </c>
      <c r="D7" s="4" t="inlineStr"/>
      <c r="E7" s="4" t="inlineStr"/>
      <c r="F7" s="4" t="inlineStr"/>
      <c r="G7" s="4">
        <f>C7-D7</f>
        <v/>
      </c>
      <c r="H7" s="4">
        <f>IF(C7=0,"",IF(ABS(G7)/C7&gt;0.1,"À expliquer",""))</f>
        <v/>
      </c>
      <c r="I7" s="4" t="inlineStr"/>
    </row>
    <row r="8">
      <c r="A8" s="5" t="inlineStr">
        <is>
          <t>Médias hors ligne</t>
        </is>
      </c>
      <c r="B8" s="5" t="inlineStr">
        <is>
          <t>Affichage Abidjan</t>
        </is>
      </c>
      <c r="C8" s="5">
        <f>Budget!Q8</f>
        <v/>
      </c>
      <c r="D8" s="5" t="inlineStr"/>
      <c r="E8" s="5" t="inlineStr"/>
      <c r="F8" s="5" t="inlineStr"/>
      <c r="G8" s="5">
        <f>C8-D8</f>
        <v/>
      </c>
      <c r="H8" s="5">
        <f>IF(C8=0,"",IF(ABS(G8)/C8&gt;0.1,"À expliquer",""))</f>
        <v/>
      </c>
      <c r="I8" s="5" t="inlineStr"/>
    </row>
    <row r="9">
      <c r="A9" s="4" t="inlineStr">
        <is>
          <t>Événements et terrain</t>
        </is>
      </c>
      <c r="B9" s="4" t="inlineStr">
        <is>
          <t>Forums PME, salons, activations en agence</t>
        </is>
      </c>
      <c r="C9" s="4">
        <f>Budget!Q9</f>
        <v/>
      </c>
      <c r="D9" s="4" t="inlineStr"/>
      <c r="E9" s="4" t="inlineStr"/>
      <c r="F9" s="4" t="inlineStr"/>
      <c r="G9" s="4">
        <f>C9-D9</f>
        <v/>
      </c>
      <c r="H9" s="4">
        <f>IF(C9=0,"",IF(ABS(G9)/C9&gt;0.1,"À expliquer",""))</f>
        <v/>
      </c>
      <c r="I9" s="4" t="inlineStr"/>
    </row>
    <row r="10">
      <c r="A10" s="5" t="inlineStr">
        <is>
          <t>Contenus et création</t>
        </is>
      </c>
      <c r="B10" s="5" t="inlineStr">
        <is>
          <t>Photos, vidéos, visuels, rédaction</t>
        </is>
      </c>
      <c r="C10" s="5">
        <f>Budget!Q10</f>
        <v/>
      </c>
      <c r="D10" s="5" t="inlineStr"/>
      <c r="E10" s="5" t="inlineStr"/>
      <c r="F10" s="5" t="inlineStr"/>
      <c r="G10" s="5">
        <f>C10-D10</f>
        <v/>
      </c>
      <c r="H10" s="5">
        <f>IF(C10=0,"",IF(ABS(G10)/C10&gt;0.1,"À expliquer",""))</f>
        <v/>
      </c>
      <c r="I10" s="5" t="inlineStr"/>
    </row>
    <row r="11">
      <c r="A11" s="4" t="inlineStr">
        <is>
          <t>Relations presse et partenariats</t>
        </is>
      </c>
      <c r="B11" s="4" t="inlineStr">
        <is>
          <t>Presse économique, sponsoring</t>
        </is>
      </c>
      <c r="C11" s="4">
        <f>Budget!Q11</f>
        <v/>
      </c>
      <c r="D11" s="4" t="inlineStr"/>
      <c r="E11" s="4" t="inlineStr"/>
      <c r="F11" s="4" t="inlineStr"/>
      <c r="G11" s="4">
        <f>C11-D11</f>
        <v/>
      </c>
      <c r="H11" s="4">
        <f>IF(C11=0,"",IF(ABS(G11)/C11&gt;0.1,"À expliquer",""))</f>
        <v/>
      </c>
      <c r="I11" s="4" t="inlineStr"/>
    </row>
    <row r="12">
      <c r="A12" s="5" t="inlineStr">
        <is>
          <t>Outils</t>
        </is>
      </c>
      <c r="B12" s="5" t="inlineStr">
        <is>
          <t>CRM, emailing, site</t>
        </is>
      </c>
      <c r="C12" s="5">
        <f>Budget!Q12</f>
        <v/>
      </c>
      <c r="D12" s="5" t="inlineStr"/>
      <c r="E12" s="5" t="inlineStr"/>
      <c r="F12" s="5" t="inlineStr"/>
      <c r="G12" s="5">
        <f>C12-D12</f>
        <v/>
      </c>
      <c r="H12" s="5">
        <f>IF(C12=0,"",IF(ABS(G12)/C12&gt;0.1,"À expliquer",""))</f>
        <v/>
      </c>
      <c r="I12" s="5" t="inlineStr"/>
    </row>
    <row r="13">
      <c r="A13" s="4" t="inlineStr">
        <is>
          <t>Études</t>
        </is>
      </c>
      <c r="B13" s="4" t="inlineStr">
        <is>
          <t>Notoriété et satisfaction clients</t>
        </is>
      </c>
      <c r="C13" s="4">
        <f>Budget!Q13</f>
        <v/>
      </c>
      <c r="D13" s="4" t="inlineStr"/>
      <c r="E13" s="4" t="inlineStr"/>
      <c r="F13" s="4" t="inlineStr"/>
      <c r="G13" s="4">
        <f>C13-D13</f>
        <v/>
      </c>
      <c r="H13" s="4">
        <f>IF(C13=0,"",IF(ABS(G13)/C13&gt;0.1,"À expliquer",""))</f>
        <v/>
      </c>
      <c r="I13" s="4" t="inlineStr"/>
    </row>
    <row r="14">
      <c r="A14" s="5" t="inlineStr">
        <is>
          <t>Prestataires</t>
        </is>
      </c>
      <c r="B14" s="5" t="inlineStr">
        <is>
          <t>Agence créative et média</t>
        </is>
      </c>
      <c r="C14" s="5">
        <f>Budget!Q14</f>
        <v/>
      </c>
      <c r="D14" s="5" t="inlineStr"/>
      <c r="E14" s="5" t="inlineStr"/>
      <c r="F14" s="5" t="inlineStr"/>
      <c r="G14" s="5">
        <f>C14-D14</f>
        <v/>
      </c>
      <c r="H14" s="5">
        <f>IF(C14=0,"",IF(ABS(G14)/C14&gt;0.1,"À expliquer",""))</f>
        <v/>
      </c>
      <c r="I14" s="5" t="inlineStr"/>
    </row>
    <row r="15">
      <c r="A15" s="4" t="inlineStr">
        <is>
          <t>Réserve</t>
        </is>
      </c>
      <c r="B15" s="4" t="inlineStr">
        <is>
          <t>Tests et imprévus</t>
        </is>
      </c>
      <c r="C15" s="4">
        <f>Budget!Q15</f>
        <v/>
      </c>
      <c r="D15" s="4" t="inlineStr"/>
      <c r="E15" s="4" t="inlineStr"/>
      <c r="F15" s="4" t="inlineStr"/>
      <c r="G15" s="4">
        <f>C15-D15</f>
        <v/>
      </c>
      <c r="H15" s="4">
        <f>IF(C15=0,"",IF(ABS(G15)/C15&gt;0.1,"À expliquer",""))</f>
        <v/>
      </c>
      <c r="I1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</cols>
  <sheetData>
    <row r="1">
      <c r="A1" s="1" t="inlineStr">
        <is>
          <t>BRIDGE BANK GROUP</t>
        </is>
      </c>
    </row>
    <row r="2">
      <c r="A2" s="2" t="inlineStr">
        <is>
          <t>Calendrier des temps forts 2027</t>
        </is>
      </c>
    </row>
    <row r="4">
      <c r="A4" s="3" t="inlineStr">
        <is>
          <t>Temps fort</t>
        </is>
      </c>
      <c r="B4" s="3" t="inlineStr">
        <is>
          <t>Date</t>
        </is>
      </c>
      <c r="C4" s="3" t="inlineStr">
        <is>
          <t>Effet</t>
        </is>
      </c>
    </row>
    <row r="5">
      <c r="A5" s="4" t="inlineStr">
        <is>
          <t>Ramadan</t>
        </is>
      </c>
      <c r="B5" s="4" t="inlineStr">
        <is>
          <t>vers 8 févr. au 9 mars 2027 (estimé)</t>
        </is>
      </c>
      <c r="C5" s="4" t="inlineStr">
        <is>
          <t>Épargne, transferts</t>
        </is>
      </c>
    </row>
    <row r="6">
      <c r="A6" s="5" t="inlineStr">
        <is>
          <t>Fête de fin du Ramadan</t>
        </is>
      </c>
      <c r="B6" s="5" t="inlineStr">
        <is>
          <t>vers 9-10 mars 2027</t>
        </is>
      </c>
      <c r="C6" s="5" t="inlineStr">
        <is>
          <t>Dépenses des ménages</t>
        </is>
      </c>
    </row>
    <row r="7">
      <c r="A7" s="4" t="inlineStr">
        <is>
          <t>Tabaski</t>
        </is>
      </c>
      <c r="B7" s="4" t="inlineStr">
        <is>
          <t>vers 16-17 mai 2027</t>
        </is>
      </c>
      <c r="C7" s="4" t="inlineStr">
        <is>
          <t>Crédit à la consommation</t>
        </is>
      </c>
    </row>
    <row r="8">
      <c r="A8" s="5" t="inlineStr">
        <is>
          <t>Fête de l’indépendance</t>
        </is>
      </c>
      <c r="B8" s="5" t="inlineStr">
        <is>
          <t>7 août 2027</t>
        </is>
      </c>
      <c r="C8" s="5" t="inlineStr">
        <is>
          <t>Diaspora</t>
        </is>
      </c>
    </row>
    <row r="9">
      <c r="A9" s="4" t="inlineStr">
        <is>
          <t>Rentrée scolaire</t>
        </is>
      </c>
      <c r="B9" s="4" t="inlineStr">
        <is>
          <t>septembre 2027 (à vérifier)</t>
        </is>
      </c>
      <c r="C9" s="4" t="inlineStr">
        <is>
          <t>Crédit scolaire</t>
        </is>
      </c>
    </row>
    <row r="10">
      <c r="A10" s="5" t="inlineStr">
        <is>
          <t>Fin d’année</t>
        </is>
      </c>
      <c r="B10" s="5" t="inlineStr">
        <is>
          <t>décembre 2027</t>
        </is>
      </c>
      <c r="C10" s="5" t="inlineStr">
        <is>
          <t>Cartes, paiements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2026-10-20T22:59:23Z</dcterms:created>
  <dcterms:modified xmlns:dcterms="http://purl.org/dc/terms/" xmlns:xsi="http://www.w3.org/2001/XMLSchema-instance" xsi:type="dcterms:W3CDTF">2026-10-20T22:59:23Z</dcterms:modified>
</cp:coreProperties>
</file>