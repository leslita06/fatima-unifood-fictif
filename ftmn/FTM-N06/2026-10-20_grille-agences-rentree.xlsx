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  <sheet xmlns:r="http://schemas.openxmlformats.org/officeDocument/2006/relationships" name="Notation" sheetId="2" state="visible" r:id="rId2"/>
    <sheet xmlns:r="http://schemas.openxmlformats.org/officeDocument/2006/relationships" name="Bon de commande" sheetId="3" state="visible" r:id="rId3"/>
    <sheet xmlns:r="http://schemas.openxmlformats.org/officeDocument/2006/relationships" name="Regist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00457D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457D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Pigier Côte d'Ivoire</t>
        </is>
      </c>
    </row>
    <row r="2">
      <c r="A2" s="2" t="inlineStr">
        <is>
          <t>Comparaison des réponses des agences</t>
        </is>
      </c>
    </row>
    <row r="4">
      <c r="A4" s="3" t="inlineStr">
        <is>
          <t>Critère</t>
        </is>
      </c>
      <c r="B4" s="3" t="inlineStr">
        <is>
          <t>Agence A (Horizon Com)</t>
        </is>
      </c>
      <c r="C4" s="3" t="inlineStr">
        <is>
          <t>Agence B (Kpakpato Digital)</t>
        </is>
      </c>
      <c r="D4" s="3" t="inlineStr">
        <is>
          <t>Agence C (Studio Lagune)</t>
        </is>
      </c>
    </row>
    <row r="5">
      <c r="A5" s="4" t="inlineStr">
        <is>
          <t>Compréhension du brief</t>
        </is>
      </c>
      <c r="B5" s="4" t="inlineStr">
        <is>
          <t>Bonne : reprend la cible bacheliers et parents, propose un message par cible.</t>
        </is>
      </c>
      <c r="C5" s="4" t="inlineStr">
        <is>
          <t>Moyenne : parle surtout de notoriété, oublie l’objectif d’inscriptions.</t>
        </is>
      </c>
      <c r="D5" s="4" t="inlineStr">
        <is>
          <t>Très bonne : relie chaque action aux inscriptions et aux journées portes ouvertes.</t>
        </is>
      </c>
    </row>
    <row r="6">
      <c r="A6" s="5" t="inlineStr">
        <is>
          <t>Références vérifiables</t>
        </is>
      </c>
      <c r="B6" s="5" t="inlineStr">
        <is>
          <t>Deux campagnes d’écoles citées, liens fournis, à vérifier auprès des écoles.</t>
        </is>
      </c>
      <c r="C6" s="5" t="inlineStr">
        <is>
          <t>Aucune référence vérifiable fournie.</t>
        </is>
      </c>
      <c r="D6" s="5" t="inlineStr">
        <is>
          <t>Trois références, dont une école ; contacts fournis, à appeler.</t>
        </is>
      </c>
    </row>
    <row r="7">
      <c r="A7" s="4" t="inlineStr">
        <is>
          <t>Équipe affectée</t>
        </is>
      </c>
      <c r="B7" s="4" t="inlineStr">
        <is>
          <t>Chef de projet, graphiste, community manager nommés.</t>
        </is>
      </c>
      <c r="C7" s="4" t="inlineStr">
        <is>
          <t>Non précisée.</t>
        </is>
      </c>
      <c r="D7" s="4" t="inlineStr">
        <is>
          <t>Chef de projet, directeur artistique, vidéaste, média planneur nommés.</t>
        </is>
      </c>
    </row>
    <row r="8">
      <c r="A8" s="5" t="inlineStr">
        <is>
          <t>Délais</t>
        </is>
      </c>
      <c r="B8" s="5" t="inlineStr">
        <is>
          <t>Créations livrées en 15 jours.</t>
        </is>
      </c>
      <c r="C8" s="5" t="inlineStr">
        <is>
          <t>Créations en 10 jours.</t>
        </is>
      </c>
      <c r="D8" s="5" t="inlineStr">
        <is>
          <t>Créations en 18 jours.</t>
        </is>
      </c>
    </row>
    <row r="9">
      <c r="A9" s="4" t="inlineStr">
        <is>
          <t>Prix total HT (honoraires et production)</t>
        </is>
      </c>
      <c r="B9" s="4" t="inlineStr">
        <is>
          <t>18 500 000 FCFA</t>
        </is>
      </c>
      <c r="C9" s="4" t="inlineStr">
        <is>
          <t>12 900 000 FCFA</t>
        </is>
      </c>
      <c r="D9" s="4" t="inlineStr">
        <is>
          <t>21 000 000 FCFA</t>
        </is>
      </c>
    </row>
    <row r="10">
      <c r="A10" s="5" t="inlineStr">
        <is>
          <t>Paiement demandé</t>
        </is>
      </c>
      <c r="B10" s="5" t="inlineStr">
        <is>
          <t>50 % à la commande, 50 % à la livraison.</t>
        </is>
      </c>
      <c r="C10" s="5" t="inlineStr">
        <is>
          <t>70 % à la commande, 30 % à la livraison.</t>
        </is>
      </c>
      <c r="D10" s="5" t="inlineStr">
        <is>
          <t>30 % à la signature, 40 % à mi-parcours, 30 % à la réception validée.</t>
        </is>
      </c>
    </row>
    <row r="11">
      <c r="A11" s="4" t="inlineStr">
        <is>
          <t>Cession des droits</t>
        </is>
      </c>
      <c r="B11" s="4" t="inlineStr">
        <is>
          <t>Cession 1 an, Côte d’Ivoire, réseaux sociaux seulement.</t>
        </is>
      </c>
      <c r="C11" s="4" t="inlineStr">
        <is>
          <t>Non mentionnée : l’agence reste propriétaire.</t>
        </is>
      </c>
      <c r="D11" s="4" t="inlineStr">
        <is>
          <t>Cession 3 ans, Afrique de l’Ouest, tous supports.</t>
        </is>
      </c>
    </row>
    <row r="12">
      <c r="A12" s="5" t="inlineStr">
        <is>
          <t>Remise des fichiers sources</t>
        </is>
      </c>
      <c r="B12" s="5" t="inlineStr">
        <is>
          <t>Oui, en fin de campagne.</t>
        </is>
      </c>
      <c r="C12" s="5" t="inlineStr">
        <is>
          <t>Non : fichiers sources facturés en plus (montant non précisé).</t>
        </is>
      </c>
      <c r="D12" s="5" t="inlineStr">
        <is>
          <t>Oui, à chaque livraison.</t>
        </is>
      </c>
    </row>
    <row r="13">
      <c r="A13" s="4" t="inlineStr">
        <is>
          <t>Situation administrative</t>
        </is>
      </c>
      <c r="B13" s="4" t="inlineStr">
        <is>
          <t>RCCM et compte contribuable fournis.</t>
        </is>
      </c>
      <c r="C13" s="4" t="inlineStr">
        <is>
          <t>Non fournie.</t>
        </is>
      </c>
      <c r="D13" s="4" t="inlineStr">
        <is>
          <t>RCCM, compte contribuable, attestation de régularité fiscale fournis.</t>
        </is>
      </c>
    </row>
    <row r="14">
      <c r="A14" s="5" t="inlineStr">
        <is>
          <t>Points flous ou frais cachés</t>
        </is>
      </c>
      <c r="B14" s="5" t="inlineStr">
        <is>
          <t>Achat d’espace non inclus, à budgéter à part.</t>
        </is>
      </c>
      <c r="C14" s="5" t="inlineStr">
        <is>
          <t>Fichiers sources facturés à part ; acompte élevé ; pas de droits.</t>
        </is>
      </c>
      <c r="D14" s="5" t="inlineStr">
        <is>
          <t>Musique du spot à déclarer au BURIDA, coût non chiffré.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Pigier Côte d'Ivoire</t>
        </is>
      </c>
    </row>
    <row r="2">
      <c r="A2" s="2" t="inlineStr">
        <is>
          <t>Notation pondérée sur 100</t>
        </is>
      </c>
    </row>
    <row r="4">
      <c r="A4" s="3" t="inlineStr">
        <is>
          <t>Critère</t>
        </is>
      </c>
      <c r="B4" s="3" t="inlineStr">
        <is>
          <t>Poids</t>
        </is>
      </c>
      <c r="C4" s="3" t="inlineStr">
        <is>
          <t>Note A /5</t>
        </is>
      </c>
      <c r="D4" s="3" t="inlineStr">
        <is>
          <t>Note B /5</t>
        </is>
      </c>
      <c r="E4" s="3" t="inlineStr">
        <is>
          <t>Note C /5</t>
        </is>
      </c>
      <c r="F4" s="3" t="inlineStr">
        <is>
          <t>Points A</t>
        </is>
      </c>
      <c r="G4" s="3" t="inlineStr">
        <is>
          <t>Points B</t>
        </is>
      </c>
      <c r="H4" s="3" t="inlineStr">
        <is>
          <t>Points C</t>
        </is>
      </c>
    </row>
    <row r="5">
      <c r="A5" s="4" t="inlineStr">
        <is>
          <t>Compréhension du brief</t>
        </is>
      </c>
      <c r="B5" s="4" t="n">
        <v>20</v>
      </c>
      <c r="C5" s="4" t="n">
        <v>3</v>
      </c>
      <c r="D5" s="4" t="n">
        <v>2</v>
      </c>
      <c r="E5" s="4" t="n">
        <v>5</v>
      </c>
      <c r="F5" s="4">
        <f>B5*C5/5</f>
        <v/>
      </c>
      <c r="G5" s="4">
        <f>B5*D5/5</f>
        <v/>
      </c>
      <c r="H5" s="4">
        <f>B5*E5/5</f>
        <v/>
      </c>
    </row>
    <row r="6">
      <c r="A6" s="5" t="inlineStr">
        <is>
          <t>Références vérifiables</t>
        </is>
      </c>
      <c r="B6" s="5" t="n">
        <v>15</v>
      </c>
      <c r="C6" s="5" t="n">
        <v>3</v>
      </c>
      <c r="D6" s="5" t="n">
        <v>0</v>
      </c>
      <c r="E6" s="5" t="n">
        <v>4</v>
      </c>
      <c r="F6" s="5">
        <f>B6*C6/5</f>
        <v/>
      </c>
      <c r="G6" s="5">
        <f>B6*D6/5</f>
        <v/>
      </c>
      <c r="H6" s="5">
        <f>B6*E6/5</f>
        <v/>
      </c>
    </row>
    <row r="7">
      <c r="A7" s="4" t="inlineStr">
        <is>
          <t>Équipe affectée</t>
        </is>
      </c>
      <c r="B7" s="4" t="n">
        <v>10</v>
      </c>
      <c r="C7" s="4" t="n">
        <v>4</v>
      </c>
      <c r="D7" s="4" t="n">
        <v>1</v>
      </c>
      <c r="E7" s="4" t="n">
        <v>5</v>
      </c>
      <c r="F7" s="4">
        <f>B7*C7/5</f>
        <v/>
      </c>
      <c r="G7" s="4">
        <f>B7*D7/5</f>
        <v/>
      </c>
      <c r="H7" s="4">
        <f>B7*E7/5</f>
        <v/>
      </c>
    </row>
    <row r="8">
      <c r="A8" s="5" t="inlineStr">
        <is>
          <t>Délais</t>
        </is>
      </c>
      <c r="B8" s="5" t="n">
        <v>10</v>
      </c>
      <c r="C8" s="5" t="n">
        <v>4</v>
      </c>
      <c r="D8" s="5" t="n">
        <v>5</v>
      </c>
      <c r="E8" s="5" t="n">
        <v>3</v>
      </c>
      <c r="F8" s="5">
        <f>B8*C8/5</f>
        <v/>
      </c>
      <c r="G8" s="5">
        <f>B8*D8/5</f>
        <v/>
      </c>
      <c r="H8" s="5">
        <f>B8*E8/5</f>
        <v/>
      </c>
    </row>
    <row r="9">
      <c r="A9" s="4" t="inlineStr">
        <is>
          <t>Prix</t>
        </is>
      </c>
      <c r="B9" s="4" t="n">
        <v>20</v>
      </c>
      <c r="C9" s="4" t="n">
        <v>3</v>
      </c>
      <c r="D9" s="4" t="n">
        <v>5</v>
      </c>
      <c r="E9" s="4" t="n">
        <v>2</v>
      </c>
      <c r="F9" s="4">
        <f>B9*C9/5</f>
        <v/>
      </c>
      <c r="G9" s="4">
        <f>B9*D9/5</f>
        <v/>
      </c>
      <c r="H9" s="4">
        <f>B9*E9/5</f>
        <v/>
      </c>
    </row>
    <row r="10">
      <c r="A10" s="5" t="inlineStr">
        <is>
          <t>Conditions de paiement</t>
        </is>
      </c>
      <c r="B10" s="5" t="n">
        <v>5</v>
      </c>
      <c r="C10" s="5" t="n">
        <v>3</v>
      </c>
      <c r="D10" s="5" t="n">
        <v>1</v>
      </c>
      <c r="E10" s="5" t="n">
        <v>5</v>
      </c>
      <c r="F10" s="5">
        <f>B10*C10/5</f>
        <v/>
      </c>
      <c r="G10" s="5">
        <f>B10*D10/5</f>
        <v/>
      </c>
      <c r="H10" s="5">
        <f>B10*E10/5</f>
        <v/>
      </c>
    </row>
    <row r="11">
      <c r="A11" s="4" t="inlineStr">
        <is>
          <t>Cession des droits et fichiers sources</t>
        </is>
      </c>
      <c r="B11" s="4" t="n">
        <v>15</v>
      </c>
      <c r="C11" s="4" t="n">
        <v>2</v>
      </c>
      <c r="D11" s="4" t="n">
        <v>0</v>
      </c>
      <c r="E11" s="4" t="n">
        <v>5</v>
      </c>
      <c r="F11" s="4">
        <f>B11*C11/5</f>
        <v/>
      </c>
      <c r="G11" s="4">
        <f>B11*D11/5</f>
        <v/>
      </c>
      <c r="H11" s="4">
        <f>B11*E11/5</f>
        <v/>
      </c>
    </row>
    <row r="12">
      <c r="A12" s="5" t="inlineStr">
        <is>
          <t>Situation administrative</t>
        </is>
      </c>
      <c r="B12" s="5" t="n">
        <v>5</v>
      </c>
      <c r="C12" s="5" t="n">
        <v>4</v>
      </c>
      <c r="D12" s="5" t="n">
        <v>0</v>
      </c>
      <c r="E12" s="5" t="n">
        <v>5</v>
      </c>
      <c r="F12" s="5">
        <f>B12*C12/5</f>
        <v/>
      </c>
      <c r="G12" s="5">
        <f>B12*D12/5</f>
        <v/>
      </c>
      <c r="H12" s="5">
        <f>B12*E12/5</f>
        <v/>
      </c>
    </row>
    <row r="13">
      <c r="A13" s="4" t="inlineStr">
        <is>
          <t>Total</t>
        </is>
      </c>
      <c r="B13" s="4">
        <f>SUM(B5:B12)</f>
        <v/>
      </c>
      <c r="C13" s="4" t="inlineStr"/>
      <c r="D13" s="4" t="inlineStr"/>
      <c r="E13" s="4" t="inlineStr"/>
      <c r="F13" s="4">
        <f>ROUND(SUM(F5:F12),0)</f>
        <v/>
      </c>
      <c r="G13" s="4">
        <f>ROUND(SUM(G5:G12),0)</f>
        <v/>
      </c>
      <c r="H13" s="4">
        <f>ROUND(SUM(H5:H12),0)</f>
        <v/>
      </c>
    </row>
    <row r="15">
      <c r="A15" s="6" t="inlineStr">
        <is>
          <t>Notes de 0 à 5 par critère. La direction choisit.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</cols>
  <sheetData>
    <row r="1">
      <c r="A1" s="1" t="inlineStr">
        <is>
          <t>Pigier Côte d'Ivoire</t>
        </is>
      </c>
    </row>
    <row r="2">
      <c r="A2" s="2" t="inlineStr">
        <is>
          <t>Bon de commande, agence C</t>
        </is>
      </c>
    </row>
    <row r="4">
      <c r="A4" s="3" t="inlineStr">
        <is>
          <t>Livrable</t>
        </is>
      </c>
      <c r="B4" s="3" t="inlineStr">
        <is>
          <t>Allers et retours</t>
        </is>
      </c>
      <c r="C4" s="3" t="inlineStr">
        <is>
          <t>Prix HT (FCFA)</t>
        </is>
      </c>
    </row>
    <row r="5">
      <c r="A5" s="4" t="inlineStr">
        <is>
          <t>Concept</t>
        </is>
      </c>
      <c r="B5" s="4" t="n">
        <v>2</v>
      </c>
      <c r="C5" s="4" t="n">
        <v>3000000</v>
      </c>
    </row>
    <row r="6">
      <c r="A6" s="5" t="inlineStr">
        <is>
          <t>12 visuels</t>
        </is>
      </c>
      <c r="B6" s="5" t="n">
        <v>2</v>
      </c>
      <c r="C6" s="5" t="n">
        <v>4200000</v>
      </c>
    </row>
    <row r="7">
      <c r="A7" s="4" t="inlineStr">
        <is>
          <t>3 vidéos</t>
        </is>
      </c>
      <c r="B7" s="4" t="n">
        <v>2</v>
      </c>
      <c r="C7" s="4" t="n">
        <v>7500000</v>
      </c>
    </row>
    <row r="8">
      <c r="A8" s="5" t="inlineStr">
        <is>
          <t>Affiche 4 x 3</t>
        </is>
      </c>
      <c r="B8" s="5" t="n">
        <v>2</v>
      </c>
      <c r="C8" s="5" t="n">
        <v>1800000</v>
      </c>
    </row>
    <row r="9">
      <c r="A9" s="4" t="inlineStr">
        <is>
          <t>Spot radio</t>
        </is>
      </c>
      <c r="B9" s="4" t="n">
        <v>2</v>
      </c>
      <c r="C9" s="4" t="n">
        <v>2000000</v>
      </c>
    </row>
    <row r="10">
      <c r="A10" s="5" t="inlineStr">
        <is>
          <t>Kit WhatsApp et plan</t>
        </is>
      </c>
      <c r="B10" s="5" t="n">
        <v>2</v>
      </c>
      <c r="C10" s="5" t="n">
        <v>2500000</v>
      </c>
    </row>
    <row r="11">
      <c r="A11" s="4" t="inlineStr">
        <is>
          <t>Total</t>
        </is>
      </c>
      <c r="B11" s="4" t="inlineStr"/>
      <c r="C11" s="4">
        <f>SUM(C5:C10)</f>
        <v/>
      </c>
    </row>
    <row r="12">
      <c r="A12" s="5" t="inlineStr">
        <is>
          <t>Acompte 30 % (après signature)</t>
        </is>
      </c>
      <c r="B12" s="5" t="inlineStr"/>
      <c r="C12" s="5">
        <f>C11*0.3</f>
        <v/>
      </c>
    </row>
    <row r="13">
      <c r="A13" s="4" t="inlineStr">
        <is>
          <t>Paiement 40 % (créations)</t>
        </is>
      </c>
      <c r="B13" s="4" t="inlineStr"/>
      <c r="C13" s="4">
        <f>C11*0.4</f>
        <v/>
      </c>
    </row>
    <row r="14">
      <c r="A14" s="5" t="inlineStr">
        <is>
          <t>Solde 30 % (réception validée)</t>
        </is>
      </c>
      <c r="B14" s="5" t="inlineStr"/>
      <c r="C14" s="5">
        <f>C11*0.3</f>
        <v/>
      </c>
    </row>
    <row r="16">
      <c r="A16" s="6" t="inlineStr">
        <is>
          <t>Cession des droits : 3 ans, Afrique de l’Ouest, tous supports. Fichiers sources à chaque livraison.</t>
        </is>
      </c>
    </row>
    <row r="17">
      <c r="A17" s="6" t="inlineStr">
        <is>
          <t>Contrat rédigé par Ibrahim avant signature.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Pigier Côte d'Ivoire</t>
        </is>
      </c>
    </row>
    <row r="2">
      <c r="A2" s="2" t="inlineStr">
        <is>
          <t>Registre des prestations</t>
        </is>
      </c>
    </row>
    <row r="4">
      <c r="A4" s="3" t="inlineStr">
        <is>
          <t>Prestataire</t>
        </is>
      </c>
      <c r="B4" s="3" t="inlineStr">
        <is>
          <t>Objet</t>
        </is>
      </c>
      <c r="C4" s="3" t="inlineStr">
        <is>
          <t>Bon de commande</t>
        </is>
      </c>
      <c r="D4" s="3" t="inlineStr">
        <is>
          <t>Échéance</t>
        </is>
      </c>
      <c r="E4" s="3" t="inlineStr">
        <is>
          <t>État</t>
        </is>
      </c>
      <c r="F4" s="3" t="inlineStr">
        <is>
          <t>Engagé</t>
        </is>
      </c>
      <c r="G4" s="3" t="inlineStr">
        <is>
          <t>Payé</t>
        </is>
      </c>
      <c r="H4" s="3" t="inlineStr">
        <is>
          <t>Bilan</t>
        </is>
      </c>
    </row>
    <row r="5">
      <c r="A5" s="4" t="inlineStr">
        <is>
          <t>Studio Lagune</t>
        </is>
      </c>
      <c r="B5" s="4" t="inlineStr">
        <is>
          <t>Campagne de rentrée</t>
        </is>
      </c>
      <c r="C5" s="4" t="inlineStr"/>
      <c r="D5" s="4" t="inlineStr"/>
      <c r="E5" s="4" t="inlineStr">
        <is>
          <t>En attente de décision</t>
        </is>
      </c>
      <c r="F5" s="4" t="n">
        <v>0</v>
      </c>
      <c r="G5" s="4" t="n">
        <v>0</v>
      </c>
      <c r="H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2026-10-20T22:32:04Z</dcterms:created>
  <dcterms:modified xmlns:dcterms="http://purl.org/dc/terms/" xmlns:xsi="http://www.w3.org/2001/XMLSchema-instance" xsi:type="dcterms:W3CDTF">2026-10-20T22:32:04Z</dcterms:modified>
</cp:coreProperties>
</file>