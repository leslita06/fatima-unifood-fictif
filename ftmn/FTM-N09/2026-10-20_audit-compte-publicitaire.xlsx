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Contrôles" sheetId="2" state="visible" r:id="rId2"/>
    <sheet xmlns:r="http://schemas.openxmlformats.org/officeDocument/2006/relationships" name="Fuites" sheetId="3" state="visible" r:id="rId3"/>
    <sheet xmlns:r="http://schemas.openxmlformats.org/officeDocument/2006/relationships" name="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5B3F96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5B3F96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30" customWidth="1" min="5" max="5"/>
    <col width="22" customWidth="1" min="6" max="6"/>
    <col width="14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4" customWidth="1" min="15" max="15"/>
    <col width="10" customWidth="1" min="16" max="16"/>
    <col width="34" customWidth="1" min="17" max="17"/>
  </cols>
  <sheetData>
    <row r="1">
      <c r="A1" s="1" t="inlineStr">
        <is>
          <t>Sococé</t>
        </is>
      </c>
    </row>
    <row r="2">
      <c r="A2" s="2" t="inlineStr">
        <is>
          <t>Export du compte, juillet à septembre 2026 (fictif)</t>
        </is>
      </c>
    </row>
    <row r="4">
      <c r="A4" s="3" t="inlineStr">
        <is>
          <t>Mois</t>
        </is>
      </c>
      <c r="B4" s="3" t="inlineStr">
        <is>
          <t>Campagne</t>
        </is>
      </c>
      <c r="C4" s="3" t="inlineStr">
        <is>
          <t>Objectif</t>
        </is>
      </c>
      <c r="D4" s="3" t="inlineStr">
        <is>
          <t>Type</t>
        </is>
      </c>
      <c r="E4" s="3" t="inlineStr">
        <is>
          <t>Audience</t>
        </is>
      </c>
      <c r="F4" s="3" t="inlineStr">
        <is>
          <t>Visuel</t>
        </is>
      </c>
      <c r="G4" s="3" t="inlineStr">
        <is>
          <t>Dépense (FCFA)</t>
        </is>
      </c>
      <c r="H4" s="3" t="inlineStr">
        <is>
          <t>Impressions</t>
        </is>
      </c>
      <c r="I4" s="3" t="inlineStr">
        <is>
          <t>Portée</t>
        </is>
      </c>
      <c r="J4" s="3" t="inlineStr">
        <is>
          <t>Fréquence</t>
        </is>
      </c>
      <c r="K4" s="3" t="inlineStr">
        <is>
          <t>Clics</t>
        </is>
      </c>
      <c r="L4" s="3" t="inlineStr">
        <is>
          <t>Taux de clic</t>
        </is>
      </c>
      <c r="M4" s="3" t="inlineStr">
        <is>
          <t>Messages</t>
        </is>
      </c>
      <c r="N4" s="3" t="inlineStr">
        <is>
          <t>CPM (FCFA)</t>
        </is>
      </c>
      <c r="O4" s="3" t="inlineStr">
        <is>
          <t>Coût par message (FCFA)</t>
        </is>
      </c>
      <c r="P4" s="3" t="inlineStr">
        <is>
          <t>Statut</t>
        </is>
      </c>
      <c r="Q4" s="3" t="inlineStr">
        <is>
          <t>Texte de l'annonce</t>
        </is>
      </c>
    </row>
    <row r="5">
      <c r="A5" s="4" t="inlineStr">
        <is>
          <t>Juillet 2026</t>
        </is>
      </c>
      <c r="B5" s="4" t="inlineStr">
        <is>
          <t>Notoriété rentrée</t>
        </is>
      </c>
      <c r="C5" s="4" t="inlineStr">
        <is>
          <t>Portée</t>
        </is>
      </c>
      <c r="D5" s="4" t="inlineStr">
        <is>
          <t>Prospection</t>
        </is>
      </c>
      <c r="E5" s="4" t="inlineStr">
        <is>
          <t>Abidjan, 25-55 ans, large</t>
        </is>
      </c>
      <c r="F5" s="4" t="inlineStr">
        <is>
          <t>Rentrée en famille</t>
        </is>
      </c>
      <c r="G5" s="4" t="n">
        <v>600000</v>
      </c>
      <c r="H5" s="4" t="n">
        <v>400000</v>
      </c>
      <c r="I5" s="4" t="n">
        <v>222222</v>
      </c>
      <c r="J5" s="4" t="n">
        <v>1.8</v>
      </c>
      <c r="K5" s="4" t="n">
        <v>2000</v>
      </c>
      <c r="L5" s="4">
        <f>K5/H5</f>
        <v/>
      </c>
      <c r="M5" s="4" t="n">
        <v>0</v>
      </c>
      <c r="N5" s="4">
        <f>G5/H5*1000</f>
        <v/>
      </c>
      <c r="O5" s="4">
        <f>IF(M5&gt;0,G5/M5,"")</f>
        <v/>
      </c>
      <c r="P5" s="4" t="inlineStr">
        <is>
          <t>Active</t>
        </is>
      </c>
      <c r="Q5" s="4" t="inlineStr">
        <is>
          <t>La rentrée se prépare chez Sococé</t>
        </is>
      </c>
    </row>
    <row r="6">
      <c r="A6" s="5" t="inlineStr">
        <is>
          <t>Juillet 2026</t>
        </is>
      </c>
      <c r="B6" s="5" t="inlineStr">
        <is>
          <t>Promos semaine</t>
        </is>
      </c>
      <c r="C6" s="5" t="inlineStr">
        <is>
          <t>Clics sur le lien</t>
        </is>
      </c>
      <c r="D6" s="5" t="inlineStr">
        <is>
          <t>Prospection</t>
        </is>
      </c>
      <c r="E6" s="5" t="inlineStr">
        <is>
          <t>Cocody et Deux Plateaux, intérêt cuisine</t>
        </is>
      </c>
      <c r="F6" s="5" t="inlineStr">
        <is>
          <t>Promo frais (visuel unique)</t>
        </is>
      </c>
      <c r="G6" s="5" t="n">
        <v>900000</v>
      </c>
      <c r="H6" s="5" t="n">
        <v>450000</v>
      </c>
      <c r="I6" s="5" t="n">
        <v>214286</v>
      </c>
      <c r="J6" s="5" t="n">
        <v>2.1</v>
      </c>
      <c r="K6" s="5" t="n">
        <v>7200</v>
      </c>
      <c r="L6" s="5">
        <f>K6/H6</f>
        <v/>
      </c>
      <c r="M6" s="5" t="n">
        <v>0</v>
      </c>
      <c r="N6" s="5">
        <f>G6/H6*1000</f>
        <v/>
      </c>
      <c r="O6" s="5">
        <f>IF(M6&gt;0,G6/M6,"")</f>
        <v/>
      </c>
      <c r="P6" s="5" t="inlineStr">
        <is>
          <t>Active</t>
        </is>
      </c>
      <c r="Q6" s="5" t="inlineStr">
        <is>
          <t>Jusqu'à -30 % sur le frais</t>
        </is>
      </c>
    </row>
    <row r="7">
      <c r="A7" s="4" t="inlineStr">
        <is>
          <t>Juillet 2026</t>
        </is>
      </c>
      <c r="B7" s="4" t="inlineStr">
        <is>
          <t>Reciblage visiteurs site</t>
        </is>
      </c>
      <c r="C7" s="4" t="inlineStr">
        <is>
          <t>Conversions site</t>
        </is>
      </c>
      <c r="D7" s="4" t="inlineStr">
        <is>
          <t>Reciblage</t>
        </is>
      </c>
      <c r="E7" s="4" t="inlineStr">
        <is>
          <t>Visiteurs du site, 30 jours</t>
        </is>
      </c>
      <c r="F7" s="4" t="inlineStr">
        <is>
          <t>Carrousel produits</t>
        </is>
      </c>
      <c r="G7" s="4" t="n">
        <v>700000</v>
      </c>
      <c r="H7" s="4" t="n">
        <v>233333</v>
      </c>
      <c r="I7" s="4" t="n">
        <v>51852</v>
      </c>
      <c r="J7" s="4" t="n">
        <v>4.5</v>
      </c>
      <c r="K7" s="4" t="n">
        <v>2800</v>
      </c>
      <c r="L7" s="4">
        <f>K7/H7</f>
        <v/>
      </c>
      <c r="M7" s="4" t="n">
        <v>0</v>
      </c>
      <c r="N7" s="4">
        <f>G7/H7*1000</f>
        <v/>
      </c>
      <c r="O7" s="4">
        <f>IF(M7&gt;0,G7/M7,"")</f>
        <v/>
      </c>
      <c r="P7" s="4" t="inlineStr">
        <is>
          <t>Active</t>
        </is>
      </c>
      <c r="Q7" s="4" t="inlineStr">
        <is>
          <t>Vous avez oublié quelque chose ?</t>
        </is>
      </c>
    </row>
    <row r="8">
      <c r="A8" s="5" t="inlineStr">
        <is>
          <t>Juillet 2026</t>
        </is>
      </c>
      <c r="B8" s="5" t="inlineStr">
        <is>
          <t>Messages WhatsApp livraison</t>
        </is>
      </c>
      <c r="C8" s="5" t="inlineStr">
        <is>
          <t>Messages</t>
        </is>
      </c>
      <c r="D8" s="5" t="inlineStr">
        <is>
          <t>Prospection</t>
        </is>
      </c>
      <c r="E8" s="5" t="inlineStr">
        <is>
          <t>Abidjan, 25-55 ans, intérêt achats en ligne</t>
        </is>
      </c>
      <c r="F8" s="5" t="inlineStr">
        <is>
          <t>3 visuels livraison</t>
        </is>
      </c>
      <c r="G8" s="5" t="n">
        <v>400000</v>
      </c>
      <c r="H8" s="5" t="n">
        <v>160000</v>
      </c>
      <c r="I8" s="5" t="n">
        <v>84211</v>
      </c>
      <c r="J8" s="5" t="n">
        <v>1.9</v>
      </c>
      <c r="K8" s="5" t="n">
        <v>2240</v>
      </c>
      <c r="L8" s="5">
        <f>K8/H8</f>
        <v/>
      </c>
      <c r="M8" s="5" t="n">
        <v>310</v>
      </c>
      <c r="N8" s="5">
        <f>G8/H8*1000</f>
        <v/>
      </c>
      <c r="O8" s="5">
        <f>IF(M8&gt;0,G8/M8,"")</f>
        <v/>
      </c>
      <c r="P8" s="5" t="inlineStr">
        <is>
          <t>Active</t>
        </is>
      </c>
      <c r="Q8" s="5" t="inlineStr">
        <is>
          <t>Vos courses livrées, écrivez-nous sur WhatsApp</t>
        </is>
      </c>
    </row>
    <row r="9">
      <c r="A9" s="4" t="inlineStr">
        <is>
          <t>Juillet 2026</t>
        </is>
      </c>
      <c r="B9" s="4" t="inlineStr">
        <is>
          <t>Reciblage abonnés page</t>
        </is>
      </c>
      <c r="C9" s="4" t="inlineStr">
        <is>
          <t>Conversions site</t>
        </is>
      </c>
      <c r="D9" s="4" t="inlineStr">
        <is>
          <t>Reciblage</t>
        </is>
      </c>
      <c r="E9" s="4" t="inlineStr">
        <is>
          <t>Abonnés de la page + visiteurs du site, 30 jours</t>
        </is>
      </c>
      <c r="F9" s="4" t="inlineStr">
        <is>
          <t>Carrousel produits</t>
        </is>
      </c>
      <c r="G9" s="4" t="n">
        <v>500000</v>
      </c>
      <c r="H9" s="4" t="n">
        <v>166667</v>
      </c>
      <c r="I9" s="4" t="n">
        <v>41667</v>
      </c>
      <c r="J9" s="4" t="n">
        <v>4</v>
      </c>
      <c r="K9" s="4" t="n">
        <v>1500</v>
      </c>
      <c r="L9" s="4">
        <f>K9/H9</f>
        <v/>
      </c>
      <c r="M9" s="4" t="n">
        <v>0</v>
      </c>
      <c r="N9" s="4">
        <f>G9/H9*1000</f>
        <v/>
      </c>
      <c r="O9" s="4">
        <f>IF(M9&gt;0,G9/M9,"")</f>
        <v/>
      </c>
      <c r="P9" s="4" t="inlineStr">
        <is>
          <t>Active</t>
        </is>
      </c>
      <c r="Q9" s="4" t="inlineStr">
        <is>
          <t>Vos marques préférées sont en rayon</t>
        </is>
      </c>
    </row>
    <row r="10">
      <c r="A10" s="5" t="inlineStr">
        <is>
          <t>Août 2026</t>
        </is>
      </c>
      <c r="B10" s="5" t="inlineStr">
        <is>
          <t>Notoriété rentrée</t>
        </is>
      </c>
      <c r="C10" s="5" t="inlineStr">
        <is>
          <t>Portée</t>
        </is>
      </c>
      <c r="D10" s="5" t="inlineStr">
        <is>
          <t>Prospection</t>
        </is>
      </c>
      <c r="E10" s="5" t="inlineStr">
        <is>
          <t>Abidjan, 25-55 ans, large</t>
        </is>
      </c>
      <c r="F10" s="5" t="inlineStr">
        <is>
          <t>Rentrée en famille</t>
        </is>
      </c>
      <c r="G10" s="5" t="n">
        <v>650000</v>
      </c>
      <c r="H10" s="5" t="n">
        <v>393939</v>
      </c>
      <c r="I10" s="5" t="n">
        <v>196970</v>
      </c>
      <c r="J10" s="5" t="n">
        <v>2</v>
      </c>
      <c r="K10" s="5" t="n">
        <v>1970</v>
      </c>
      <c r="L10" s="5">
        <f>K10/H10</f>
        <v/>
      </c>
      <c r="M10" s="5" t="n">
        <v>0</v>
      </c>
      <c r="N10" s="5">
        <f>G10/H10*1000</f>
        <v/>
      </c>
      <c r="O10" s="5">
        <f>IF(M10&gt;0,G10/M10,"")</f>
        <v/>
      </c>
      <c r="P10" s="5" t="inlineStr">
        <is>
          <t>Active</t>
        </is>
      </c>
      <c r="Q10" s="5" t="inlineStr">
        <is>
          <t>La rentrée se prépare chez Sococé</t>
        </is>
      </c>
    </row>
    <row r="11">
      <c r="A11" s="4" t="inlineStr">
        <is>
          <t>Août 2026</t>
        </is>
      </c>
      <c r="B11" s="4" t="inlineStr">
        <is>
          <t>Promos semaine</t>
        </is>
      </c>
      <c r="C11" s="4" t="inlineStr">
        <is>
          <t>Clics sur le lien</t>
        </is>
      </c>
      <c r="D11" s="4" t="inlineStr">
        <is>
          <t>Prospection</t>
        </is>
      </c>
      <c r="E11" s="4" t="inlineStr">
        <is>
          <t>Cocody et Deux Plateaux, intérêt cuisine</t>
        </is>
      </c>
      <c r="F11" s="4" t="inlineStr">
        <is>
          <t>Promo frais (visuel unique)</t>
        </is>
      </c>
      <c r="G11" s="4" t="n">
        <v>900000</v>
      </c>
      <c r="H11" s="4" t="n">
        <v>391304</v>
      </c>
      <c r="I11" s="4" t="n">
        <v>115089</v>
      </c>
      <c r="J11" s="4" t="n">
        <v>3.4</v>
      </c>
      <c r="K11" s="4" t="n">
        <v>4304</v>
      </c>
      <c r="L11" s="4">
        <f>K11/H11</f>
        <v/>
      </c>
      <c r="M11" s="4" t="n">
        <v>0</v>
      </c>
      <c r="N11" s="4">
        <f>G11/H11*1000</f>
        <v/>
      </c>
      <c r="O11" s="4">
        <f>IF(M11&gt;0,G11/M11,"")</f>
        <v/>
      </c>
      <c r="P11" s="4" t="inlineStr">
        <is>
          <t>Active</t>
        </is>
      </c>
      <c r="Q11" s="4" t="inlineStr">
        <is>
          <t>Jusqu'à -30 % sur le frais</t>
        </is>
      </c>
    </row>
    <row r="12">
      <c r="A12" s="5" t="inlineStr">
        <is>
          <t>Août 2026</t>
        </is>
      </c>
      <c r="B12" s="5" t="inlineStr">
        <is>
          <t>Reciblage visiteurs site</t>
        </is>
      </c>
      <c r="C12" s="5" t="inlineStr">
        <is>
          <t>Conversions site</t>
        </is>
      </c>
      <c r="D12" s="5" t="inlineStr">
        <is>
          <t>Reciblage</t>
        </is>
      </c>
      <c r="E12" s="5" t="inlineStr">
        <is>
          <t>Visiteurs du site, 30 jours</t>
        </is>
      </c>
      <c r="F12" s="5" t="inlineStr">
        <is>
          <t>Carrousel produits</t>
        </is>
      </c>
      <c r="G12" s="5" t="n">
        <v>750000</v>
      </c>
      <c r="H12" s="5" t="n">
        <v>227273</v>
      </c>
      <c r="I12" s="5" t="n">
        <v>41322</v>
      </c>
      <c r="J12" s="5" t="n">
        <v>5.5</v>
      </c>
      <c r="K12" s="5" t="n">
        <v>2273</v>
      </c>
      <c r="L12" s="5">
        <f>K12/H12</f>
        <v/>
      </c>
      <c r="M12" s="5" t="n">
        <v>0</v>
      </c>
      <c r="N12" s="5">
        <f>G12/H12*1000</f>
        <v/>
      </c>
      <c r="O12" s="5">
        <f>IF(M12&gt;0,G12/M12,"")</f>
        <v/>
      </c>
      <c r="P12" s="5" t="inlineStr">
        <is>
          <t>Active</t>
        </is>
      </c>
      <c r="Q12" s="5" t="inlineStr">
        <is>
          <t>Vous avez oublié quelque chose ?</t>
        </is>
      </c>
    </row>
    <row r="13">
      <c r="A13" s="4" t="inlineStr">
        <is>
          <t>Août 2026</t>
        </is>
      </c>
      <c r="B13" s="4" t="inlineStr">
        <is>
          <t>Messages WhatsApp livraison</t>
        </is>
      </c>
      <c r="C13" s="4" t="inlineStr">
        <is>
          <t>Messages</t>
        </is>
      </c>
      <c r="D13" s="4" t="inlineStr">
        <is>
          <t>Prospection</t>
        </is>
      </c>
      <c r="E13" s="4" t="inlineStr">
        <is>
          <t>Abidjan, 25-55 ans, intérêt achats en ligne</t>
        </is>
      </c>
      <c r="F13" s="4" t="inlineStr">
        <is>
          <t>3 visuels livraison</t>
        </is>
      </c>
      <c r="G13" s="4" t="n">
        <v>400000</v>
      </c>
      <c r="H13" s="4" t="n">
        <v>160000</v>
      </c>
      <c r="I13" s="4" t="n">
        <v>80000</v>
      </c>
      <c r="J13" s="4" t="n">
        <v>2</v>
      </c>
      <c r="K13" s="4" t="n">
        <v>2240</v>
      </c>
      <c r="L13" s="4">
        <f>K13/H13</f>
        <v/>
      </c>
      <c r="M13" s="4" t="n">
        <v>295</v>
      </c>
      <c r="N13" s="4">
        <f>G13/H13*1000</f>
        <v/>
      </c>
      <c r="O13" s="4">
        <f>IF(M13&gt;0,G13/M13,"")</f>
        <v/>
      </c>
      <c r="P13" s="4" t="inlineStr">
        <is>
          <t>Active</t>
        </is>
      </c>
      <c r="Q13" s="4" t="inlineStr">
        <is>
          <t>Vos courses livrées, écrivez-nous sur WhatsApp</t>
        </is>
      </c>
    </row>
    <row r="14">
      <c r="A14" s="5" t="inlineStr">
        <is>
          <t>Août 2026</t>
        </is>
      </c>
      <c r="B14" s="5" t="inlineStr">
        <is>
          <t>Reciblage abonnés page</t>
        </is>
      </c>
      <c r="C14" s="5" t="inlineStr">
        <is>
          <t>Conversions site</t>
        </is>
      </c>
      <c r="D14" s="5" t="inlineStr">
        <is>
          <t>Reciblage</t>
        </is>
      </c>
      <c r="E14" s="5" t="inlineStr">
        <is>
          <t>Abonnés de la page + visiteurs du site, 30 jours</t>
        </is>
      </c>
      <c r="F14" s="5" t="inlineStr">
        <is>
          <t>Carrousel produits</t>
        </is>
      </c>
      <c r="G14" s="5" t="n">
        <v>550000</v>
      </c>
      <c r="H14" s="5" t="n">
        <v>161765</v>
      </c>
      <c r="I14" s="5" t="n">
        <v>32353</v>
      </c>
      <c r="J14" s="5" t="n">
        <v>5</v>
      </c>
      <c r="K14" s="5" t="n">
        <v>1294</v>
      </c>
      <c r="L14" s="5">
        <f>K14/H14</f>
        <v/>
      </c>
      <c r="M14" s="5" t="n">
        <v>0</v>
      </c>
      <c r="N14" s="5">
        <f>G14/H14*1000</f>
        <v/>
      </c>
      <c r="O14" s="5">
        <f>IF(M14&gt;0,G14/M14,"")</f>
        <v/>
      </c>
      <c r="P14" s="5" t="inlineStr">
        <is>
          <t>Active</t>
        </is>
      </c>
      <c r="Q14" s="5" t="inlineStr">
        <is>
          <t>Vos marques préférées sont en rayon</t>
        </is>
      </c>
    </row>
    <row r="15">
      <c r="A15" s="4" t="inlineStr">
        <is>
          <t>Septembre 2026</t>
        </is>
      </c>
      <c r="B15" s="4" t="inlineStr">
        <is>
          <t>Notoriété rentrée</t>
        </is>
      </c>
      <c r="C15" s="4" t="inlineStr">
        <is>
          <t>Portée</t>
        </is>
      </c>
      <c r="D15" s="4" t="inlineStr">
        <is>
          <t>Prospection</t>
        </is>
      </c>
      <c r="E15" s="4" t="inlineStr">
        <is>
          <t>Abidjan, 25-55 ans, large</t>
        </is>
      </c>
      <c r="F15" s="4" t="inlineStr">
        <is>
          <t>Rentrée en famille</t>
        </is>
      </c>
      <c r="G15" s="4" t="n">
        <v>700000</v>
      </c>
      <c r="H15" s="4" t="n">
        <v>388889</v>
      </c>
      <c r="I15" s="4" t="n">
        <v>176768</v>
      </c>
      <c r="J15" s="4" t="n">
        <v>2.2</v>
      </c>
      <c r="K15" s="4" t="n">
        <v>1750</v>
      </c>
      <c r="L15" s="4">
        <f>K15/H15</f>
        <v/>
      </c>
      <c r="M15" s="4" t="n">
        <v>0</v>
      </c>
      <c r="N15" s="4">
        <f>G15/H15*1000</f>
        <v/>
      </c>
      <c r="O15" s="4">
        <f>IF(M15&gt;0,G15/M15,"")</f>
        <v/>
      </c>
      <c r="P15" s="4" t="inlineStr">
        <is>
          <t>Active</t>
        </is>
      </c>
      <c r="Q15" s="4" t="inlineStr">
        <is>
          <t>La rentrée se prépare chez Sococé</t>
        </is>
      </c>
    </row>
    <row r="16">
      <c r="A16" s="5" t="inlineStr">
        <is>
          <t>Septembre 2026</t>
        </is>
      </c>
      <c r="B16" s="5" t="inlineStr">
        <is>
          <t>Promos semaine</t>
        </is>
      </c>
      <c r="C16" s="5" t="inlineStr">
        <is>
          <t>Clics sur le lien</t>
        </is>
      </c>
      <c r="D16" s="5" t="inlineStr">
        <is>
          <t>Prospection</t>
        </is>
      </c>
      <c r="E16" s="5" t="inlineStr">
        <is>
          <t>Cocody et Deux Plateaux, intérêt cuisine</t>
        </is>
      </c>
      <c r="F16" s="5" t="inlineStr">
        <is>
          <t>Promo frais (visuel unique)</t>
        </is>
      </c>
      <c r="G16" s="5" t="n">
        <v>900000</v>
      </c>
      <c r="H16" s="5" t="n">
        <v>333333</v>
      </c>
      <c r="I16" s="5" t="n">
        <v>64102</v>
      </c>
      <c r="J16" s="5" t="n">
        <v>5.2</v>
      </c>
      <c r="K16" s="5" t="n">
        <v>2000</v>
      </c>
      <c r="L16" s="5">
        <f>K16/H16</f>
        <v/>
      </c>
      <c r="M16" s="5" t="n">
        <v>0</v>
      </c>
      <c r="N16" s="5">
        <f>G16/H16*1000</f>
        <v/>
      </c>
      <c r="O16" s="5">
        <f>IF(M16&gt;0,G16/M16,"")</f>
        <v/>
      </c>
      <c r="P16" s="5" t="inlineStr">
        <is>
          <t>Active</t>
        </is>
      </c>
      <c r="Q16" s="5" t="inlineStr">
        <is>
          <t>Jusqu'à -30 % sur le frais</t>
        </is>
      </c>
    </row>
    <row r="17">
      <c r="A17" s="4" t="inlineStr">
        <is>
          <t>Septembre 2026</t>
        </is>
      </c>
      <c r="B17" s="4" t="inlineStr">
        <is>
          <t>Reciblage visiteurs site</t>
        </is>
      </c>
      <c r="C17" s="4" t="inlineStr">
        <is>
          <t>Conversions site</t>
        </is>
      </c>
      <c r="D17" s="4" t="inlineStr">
        <is>
          <t>Reciblage</t>
        </is>
      </c>
      <c r="E17" s="4" t="inlineStr">
        <is>
          <t>Visiteurs du site, 30 jours</t>
        </is>
      </c>
      <c r="F17" s="4" t="inlineStr">
        <is>
          <t>Carrousel produits</t>
        </is>
      </c>
      <c r="G17" s="4" t="n">
        <v>800000</v>
      </c>
      <c r="H17" s="4" t="n">
        <v>222222</v>
      </c>
      <c r="I17" s="4" t="n">
        <v>34188</v>
      </c>
      <c r="J17" s="4" t="n">
        <v>6.5</v>
      </c>
      <c r="K17" s="4" t="n">
        <v>2000</v>
      </c>
      <c r="L17" s="4">
        <f>K17/H17</f>
        <v/>
      </c>
      <c r="M17" s="4" t="n">
        <v>0</v>
      </c>
      <c r="N17" s="4">
        <f>G17/H17*1000</f>
        <v/>
      </c>
      <c r="O17" s="4">
        <f>IF(M17&gt;0,G17/M17,"")</f>
        <v/>
      </c>
      <c r="P17" s="4" t="inlineStr">
        <is>
          <t>Active</t>
        </is>
      </c>
      <c r="Q17" s="4" t="inlineStr">
        <is>
          <t>Vous avez oublié quelque chose ?</t>
        </is>
      </c>
    </row>
    <row r="18">
      <c r="A18" s="5" t="inlineStr">
        <is>
          <t>Septembre 2026</t>
        </is>
      </c>
      <c r="B18" s="5" t="inlineStr">
        <is>
          <t>Messages WhatsApp livraison</t>
        </is>
      </c>
      <c r="C18" s="5" t="inlineStr">
        <is>
          <t>Messages</t>
        </is>
      </c>
      <c r="D18" s="5" t="inlineStr">
        <is>
          <t>Prospection</t>
        </is>
      </c>
      <c r="E18" s="5" t="inlineStr">
        <is>
          <t>Abidjan, 25-55 ans, intérêt achats en ligne</t>
        </is>
      </c>
      <c r="F18" s="5" t="inlineStr">
        <is>
          <t>3 visuels livraison</t>
        </is>
      </c>
      <c r="G18" s="5" t="n">
        <v>400000</v>
      </c>
      <c r="H18" s="5" t="n">
        <v>153846</v>
      </c>
      <c r="I18" s="5" t="n">
        <v>80972</v>
      </c>
      <c r="J18" s="5" t="n">
        <v>1.9</v>
      </c>
      <c r="K18" s="5" t="n">
        <v>2308</v>
      </c>
      <c r="L18" s="5">
        <f>K18/H18</f>
        <v/>
      </c>
      <c r="M18" s="5" t="n">
        <v>320</v>
      </c>
      <c r="N18" s="5">
        <f>G18/H18*1000</f>
        <v/>
      </c>
      <c r="O18" s="5">
        <f>IF(M18&gt;0,G18/M18,"")</f>
        <v/>
      </c>
      <c r="P18" s="5" t="inlineStr">
        <is>
          <t>Active</t>
        </is>
      </c>
      <c r="Q18" s="5" t="inlineStr">
        <is>
          <t>Vos courses livrées, écrivez-nous sur WhatsApp</t>
        </is>
      </c>
    </row>
    <row r="19">
      <c r="A19" s="4" t="inlineStr">
        <is>
          <t>Septembre 2026</t>
        </is>
      </c>
      <c r="B19" s="4" t="inlineStr">
        <is>
          <t>Reciblage abonnés page</t>
        </is>
      </c>
      <c r="C19" s="4" t="inlineStr">
        <is>
          <t>Conversions site</t>
        </is>
      </c>
      <c r="D19" s="4" t="inlineStr">
        <is>
          <t>Reciblage</t>
        </is>
      </c>
      <c r="E19" s="4" t="inlineStr">
        <is>
          <t>Abonnés de la page + visiteurs du site, 30 jours</t>
        </is>
      </c>
      <c r="F19" s="4" t="inlineStr">
        <is>
          <t>Carrousel produits</t>
        </is>
      </c>
      <c r="G19" s="4" t="n">
        <v>600000</v>
      </c>
      <c r="H19" s="4" t="n">
        <v>157895</v>
      </c>
      <c r="I19" s="4" t="n">
        <v>26316</v>
      </c>
      <c r="J19" s="4" t="n">
        <v>6</v>
      </c>
      <c r="K19" s="4" t="n">
        <v>1105</v>
      </c>
      <c r="L19" s="4">
        <f>K19/H19</f>
        <v/>
      </c>
      <c r="M19" s="4" t="n">
        <v>0</v>
      </c>
      <c r="N19" s="4">
        <f>G19/H19*1000</f>
        <v/>
      </c>
      <c r="O19" s="4">
        <f>IF(M19&gt;0,G19/M19,"")</f>
        <v/>
      </c>
      <c r="P19" s="4" t="inlineStr">
        <is>
          <t>Active</t>
        </is>
      </c>
      <c r="Q19" s="4" t="inlineStr">
        <is>
          <t>Vos marques préférées sont en rayon</t>
        </is>
      </c>
    </row>
    <row r="21">
      <c r="A21" s="6" t="inlineStr">
        <is>
          <t>Export fictif, inventé pour le test. Lecture seule : rien n’a été modifié dans le compte.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4" customWidth="1" min="4" max="4"/>
    <col width="70" customWidth="1" min="5" max="5"/>
  </cols>
  <sheetData>
    <row r="1">
      <c r="A1" s="1" t="inlineStr">
        <is>
          <t>Sococé</t>
        </is>
      </c>
    </row>
    <row r="2">
      <c r="A2" s="2" t="inlineStr">
        <is>
          <t>Les vingt contrôles, en sept blocs</t>
        </is>
      </c>
    </row>
    <row r="4">
      <c r="A4" s="3" t="inlineStr">
        <is>
          <t>N°</t>
        </is>
      </c>
      <c r="B4" s="3" t="inlineStr">
        <is>
          <t>Bloc</t>
        </is>
      </c>
      <c r="C4" s="3" t="inlineStr">
        <is>
          <t>Contrôle</t>
        </is>
      </c>
      <c r="D4" s="3" t="inlineStr">
        <is>
          <t>Statut</t>
        </is>
      </c>
      <c r="E4" s="3" t="inlineStr">
        <is>
          <t>Preuve</t>
        </is>
      </c>
    </row>
    <row r="5">
      <c r="A5" s="4" t="n">
        <v>1</v>
      </c>
      <c r="B5" s="4" t="inlineStr">
        <is>
          <t>Mesure</t>
        </is>
      </c>
      <c r="C5" s="4" t="inlineStr">
        <is>
          <t>Balise de suivi active</t>
        </is>
      </c>
      <c r="D5" s="4" t="inlineStr">
        <is>
          <t>non mesuré</t>
        </is>
      </c>
      <c r="E5" s="4" t="inlineStr">
        <is>
          <t>L'export ne contient pas les événements de la balise.</t>
        </is>
      </c>
    </row>
    <row r="6">
      <c r="A6" s="5" t="n">
        <v>2</v>
      </c>
      <c r="B6" s="5" t="inlineStr">
        <is>
          <t>Mesure</t>
        </is>
      </c>
      <c r="C6" s="5" t="inlineStr">
        <is>
          <t>Conversion suivie = vrai résultat</t>
        </is>
      </c>
      <c r="D6" s="5" t="inlineStr">
        <is>
          <t>à corriger</t>
        </is>
      </c>
      <c r="E6" s="5" t="inlineStr">
        <is>
          <t>« Promos semaine » est optimisée sur le clic : 2 700 000 FCFA, 0 message.</t>
        </is>
      </c>
    </row>
    <row r="7">
      <c r="A7" s="4" t="n">
        <v>3</v>
      </c>
      <c r="B7" s="4" t="inlineStr">
        <is>
          <t>Mesure</t>
        </is>
      </c>
      <c r="C7" s="4" t="inlineStr">
        <is>
          <t>Fenêtre d'attribution connue</t>
        </is>
      </c>
      <c r="D7" s="4" t="inlineStr">
        <is>
          <t>non mesuré</t>
        </is>
      </c>
      <c r="E7" s="4" t="inlineStr">
        <is>
          <t>Absente de l'export ; à lire dans les réglages du compte.</t>
        </is>
      </c>
    </row>
    <row r="8">
      <c r="A8" s="5" t="n">
        <v>4</v>
      </c>
      <c r="B8" s="5" t="inlineStr">
        <is>
          <t>Budget</t>
        </is>
      </c>
      <c r="C8" s="5" t="inlineStr">
        <is>
          <t>Part du budget en prospection</t>
        </is>
      </c>
      <c r="D8" s="5" t="inlineStr">
        <is>
          <t>à corriger</t>
        </is>
      </c>
      <c r="E8" s="5" t="inlineStr">
        <is>
          <t>Reciblage : 3 900 000 FCFA, soit 40 % du budget.</t>
        </is>
      </c>
    </row>
    <row r="9">
      <c r="A9" s="4" t="n">
        <v>5</v>
      </c>
      <c r="B9" s="4" t="inlineStr">
        <is>
          <t>Budget</t>
        </is>
      </c>
      <c r="C9" s="4" t="inlineStr">
        <is>
          <t>Rythme de dépense contre le plan</t>
        </is>
      </c>
      <c r="D9" s="4" t="inlineStr">
        <is>
          <t>non mesuré</t>
        </is>
      </c>
      <c r="E9" s="4" t="inlineStr">
        <is>
          <t>Aucun plan de dépense reçu.</t>
        </is>
      </c>
    </row>
    <row r="10">
      <c r="A10" s="5" t="n">
        <v>6</v>
      </c>
      <c r="B10" s="5" t="inlineStr">
        <is>
          <t>Budget</t>
        </is>
      </c>
      <c r="C10" s="5" t="inlineStr">
        <is>
          <t>Campagnes qui se font concurrence</t>
        </is>
      </c>
      <c r="D10" s="5" t="inlineStr">
        <is>
          <t>à corriger</t>
        </is>
      </c>
      <c r="E10" s="5" t="inlineStr">
        <is>
          <t>Les deux reciblages visent les visiteurs du site, 30 jours.</t>
        </is>
      </c>
    </row>
    <row r="11">
      <c r="A11" s="4" t="n">
        <v>7</v>
      </c>
      <c r="B11" s="4" t="inlineStr">
        <is>
          <t>Audiences</t>
        </is>
      </c>
      <c r="C11" s="4" t="inlineStr">
        <is>
          <t>Fréquence</t>
        </is>
      </c>
      <c r="D11" s="4" t="inlineStr">
        <is>
          <t>à corriger</t>
        </is>
      </c>
      <c r="E11" s="4" t="inlineStr">
        <is>
          <t>« Promos semaine » : fréquence 2,1 puis 5,2 ; taux de clic 1,6 % puis 0,6 %.</t>
        </is>
      </c>
    </row>
    <row r="12">
      <c r="A12" s="5" t="n">
        <v>8</v>
      </c>
      <c r="B12" s="5" t="inlineStr">
        <is>
          <t>Audiences</t>
        </is>
      </c>
      <c r="C12" s="5" t="inlineStr">
        <is>
          <t>Portée</t>
        </is>
      </c>
      <c r="D12" s="5" t="inlineStr">
        <is>
          <t>à corriger</t>
        </is>
      </c>
      <c r="E12" s="5" t="inlineStr">
        <is>
          <t>Portée cumulée 614 238 en juillet, 382 346 en septembre, pour un budget en hausse.</t>
        </is>
      </c>
    </row>
    <row r="13">
      <c r="A13" s="4" t="n">
        <v>9</v>
      </c>
      <c r="B13" s="4" t="inlineStr">
        <is>
          <t>Audiences</t>
        </is>
      </c>
      <c r="C13" s="4" t="inlineStr">
        <is>
          <t>Exclusions</t>
        </is>
      </c>
      <c r="D13" s="4" t="inlineStr">
        <is>
          <t>non mesuré</t>
        </is>
      </c>
      <c r="E13" s="4" t="inlineStr">
        <is>
          <t>Les exclusions ne figurent pas dans l'export.</t>
        </is>
      </c>
    </row>
    <row r="14">
      <c r="A14" s="5" t="n">
        <v>10</v>
      </c>
      <c r="B14" s="5" t="inlineStr">
        <is>
          <t>Audiences</t>
        </is>
      </c>
      <c r="C14" s="5" t="inlineStr">
        <is>
          <t>Listes de clients importées</t>
        </is>
      </c>
      <c r="D14" s="5" t="inlineStr">
        <is>
          <t>non mesuré</t>
        </is>
      </c>
      <c r="E14" s="5" t="inlineStr">
        <is>
          <t>Aucune liste dans l’export.</t>
        </is>
      </c>
    </row>
    <row r="15">
      <c r="A15" s="4" t="n">
        <v>11</v>
      </c>
      <c r="B15" s="4" t="inlineStr">
        <is>
          <t>Visuels</t>
        </is>
      </c>
      <c r="C15" s="4" t="inlineStr">
        <is>
          <t>Fatigue des visuels</t>
        </is>
      </c>
      <c r="D15" s="4" t="inlineStr">
        <is>
          <t>à corriger</t>
        </is>
      </c>
      <c r="E15" s="4" t="inlineStr">
        <is>
          <t>Visuel « Promo frais » : taux de clic en baisse trois mois de suite.</t>
        </is>
      </c>
    </row>
    <row r="16">
      <c r="A16" s="5" t="n">
        <v>12</v>
      </c>
      <c r="B16" s="5" t="inlineStr">
        <is>
          <t>Visuels</t>
        </is>
      </c>
      <c r="C16" s="5" t="inlineStr">
        <is>
          <t>Nombre de visuels actifs</t>
        </is>
      </c>
      <c r="D16" s="5" t="inlineStr">
        <is>
          <t>à corriger</t>
        </is>
      </c>
      <c r="E16" s="5" t="inlineStr">
        <is>
          <t>« Promos semaine » tourne avec un seul visuel.</t>
        </is>
      </c>
    </row>
    <row r="17">
      <c r="A17" s="4" t="n">
        <v>13</v>
      </c>
      <c r="B17" s="4" t="inlineStr">
        <is>
          <t>Visuels</t>
        </is>
      </c>
      <c r="C17" s="4" t="inlineStr">
        <is>
          <t>Annonce et page d'arrivée</t>
        </is>
      </c>
      <c r="D17" s="4" t="inlineStr">
        <is>
          <t>non mesuré</t>
        </is>
      </c>
      <c r="E17" s="4" t="inlineStr">
        <is>
          <t>Page d'arrivée non fournie.</t>
        </is>
      </c>
    </row>
    <row r="18">
      <c r="A18" s="5" t="n">
        <v>14</v>
      </c>
      <c r="B18" s="5" t="inlineStr">
        <is>
          <t>Recherche</t>
        </is>
      </c>
      <c r="C18" s="5" t="inlineStr">
        <is>
          <t>Termes de recherche</t>
        </is>
      </c>
      <c r="D18" s="5" t="inlineStr">
        <is>
          <t>sans objet</t>
        </is>
      </c>
      <c r="E18" s="5" t="inlineStr">
        <is>
          <t>Compte Facebook et Instagram uniquement.</t>
        </is>
      </c>
    </row>
    <row r="19">
      <c r="A19" s="4" t="n">
        <v>15</v>
      </c>
      <c r="B19" s="4" t="inlineStr">
        <is>
          <t>Recherche</t>
        </is>
      </c>
      <c r="C19" s="4" t="inlineStr">
        <is>
          <t>Mots-clés à exclure</t>
        </is>
      </c>
      <c r="D19" s="4" t="inlineStr">
        <is>
          <t>sans objet</t>
        </is>
      </c>
      <c r="E19" s="4" t="inlineStr">
        <is>
          <t>Idem.</t>
        </is>
      </c>
    </row>
    <row r="20">
      <c r="A20" s="5" t="n">
        <v>16</v>
      </c>
      <c r="B20" s="5" t="inlineStr">
        <is>
          <t>Recherche</t>
        </is>
      </c>
      <c r="C20" s="5" t="inlineStr">
        <is>
          <t>Niveau de qualité</t>
        </is>
      </c>
      <c r="D20" s="5" t="inlineStr">
        <is>
          <t>sans objet</t>
        </is>
      </c>
      <c r="E20" s="5" t="inlineStr">
        <is>
          <t>Idem.</t>
        </is>
      </c>
    </row>
    <row r="21">
      <c r="A21" s="4" t="n">
        <v>17</v>
      </c>
      <c r="B21" s="4" t="inlineStr">
        <is>
          <t>Conformité et concurrents</t>
        </is>
      </c>
      <c r="C21" s="4" t="inlineStr">
        <is>
          <t>Annonces refusées ou limitées</t>
        </is>
      </c>
      <c r="D21" s="4" t="inlineStr">
        <is>
          <t>tenu</t>
        </is>
      </c>
      <c r="E21" s="4" t="inlineStr">
        <is>
          <t>Aucune annonce refusée dans l'export.</t>
        </is>
      </c>
    </row>
    <row r="22">
      <c r="A22" s="5" t="n">
        <v>18</v>
      </c>
      <c r="B22" s="5" t="inlineStr">
        <is>
          <t>Conformité et concurrents</t>
        </is>
      </c>
      <c r="C22" s="5" t="inlineStr">
        <is>
          <t>Mentions obligatoires</t>
        </is>
      </c>
      <c r="D22" s="5" t="inlineStr">
        <is>
          <t>à corriger</t>
        </is>
      </c>
      <c r="E22" s="5" t="inlineStr">
        <is>
          <t>« Jusqu'à -30 % sur le frais » : aucune date de validité.</t>
        </is>
      </c>
    </row>
    <row r="23">
      <c r="A23" s="4" t="n">
        <v>19</v>
      </c>
      <c r="B23" s="4" t="inlineStr">
        <is>
          <t>Conformité et concurrents</t>
        </is>
      </c>
      <c r="C23" s="4" t="inlineStr">
        <is>
          <t>Annonces des concurrents</t>
        </is>
      </c>
      <c r="D23" s="4" t="inlineStr">
        <is>
          <t>non mesuré</t>
        </is>
      </c>
      <c r="E23" s="4" t="inlineStr">
        <is>
          <t>Bibliothèque publique non consultée pour cet audit.</t>
        </is>
      </c>
    </row>
    <row r="24">
      <c r="A24" s="5" t="n">
        <v>20</v>
      </c>
      <c r="B24" s="5" t="inlineStr">
        <is>
          <t>Qualité des demandes</t>
        </is>
      </c>
      <c r="C24" s="5" t="inlineStr">
        <is>
          <t>Segments qui convertissent vraiment</t>
        </is>
      </c>
      <c r="D24" s="5" t="inlineStr">
        <is>
          <t>non mesuré</t>
        </is>
      </c>
      <c r="E24" s="5" t="inlineStr">
        <is>
          <t>Aucune donnée de vente ou de demande réelle reçue.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4" customWidth="1" min="3" max="3"/>
    <col width="28" customWidth="1" min="4" max="4"/>
  </cols>
  <sheetData>
    <row r="1">
      <c r="A1" s="1" t="inlineStr">
        <is>
          <t>Sococé</t>
        </is>
      </c>
    </row>
    <row r="2">
      <c r="A2" s="2" t="inlineStr">
        <is>
          <t>Ce que coûtent les fuites, juillet à septembre 2026</t>
        </is>
      </c>
    </row>
    <row r="4">
      <c r="A4" s="3" t="inlineStr">
        <is>
          <t>Fuite</t>
        </is>
      </c>
      <c r="B4" s="3" t="inlineStr">
        <is>
          <t>Coût (FCFA)</t>
        </is>
      </c>
      <c r="C4" s="3" t="inlineStr">
        <is>
          <t>Calcul</t>
        </is>
      </c>
      <c r="D4" s="3" t="inlineStr">
        <is>
          <t>Nature</t>
        </is>
      </c>
    </row>
    <row r="5">
      <c r="A5" s="4" t="inlineStr">
        <is>
          <t>Objectif clic sans message (contrôle 2)</t>
        </is>
      </c>
      <c r="B5" s="4">
        <f>SUMIFS(Export!G5:G19,Export!B5:B19,"Promos semaine")</f>
        <v/>
      </c>
      <c r="C5" s="4" t="inlineStr">
        <is>
          <t>Toute la dépense de « Promos semaine » : 0 message reçu</t>
        </is>
      </c>
      <c r="D5" s="4" t="inlineStr">
        <is>
          <t>Calculé</t>
        </is>
      </c>
    </row>
    <row r="6">
      <c r="A6" s="5" t="inlineStr">
        <is>
          <t>Reciblage au-delà de la part visée (contrôle 4)</t>
        </is>
      </c>
      <c r="B6" s="5">
        <f>SUMIFS(Export!G5:G19,Export!D5:D19,"Reciblage")-0.25*SUM(Export!G5:G19)</f>
        <v/>
      </c>
      <c r="C6" s="5" t="inlineStr">
        <is>
          <t>Dépense de reciblage moins 25 % du budget total (part visée = hypothèse)</t>
        </is>
      </c>
      <c r="D6" s="5" t="inlineStr">
        <is>
          <t>Hypothèse sur la part visée</t>
        </is>
      </c>
    </row>
    <row r="7">
      <c r="A7" s="4" t="inlineStr">
        <is>
          <t>Visuel fatigué en septembre (contrôle 11)</t>
        </is>
      </c>
      <c r="B7" s="4">
        <f>SUMIFS(Export!G5:G19,Export!B5:B19,"Promos semaine",Export!A5:A19,"Septembre 2026")</f>
        <v/>
      </c>
      <c r="C7" s="4" t="inlineStr">
        <is>
          <t>Déjà compté dans la ligne 1 : ne pas additionner</t>
        </is>
      </c>
      <c r="D7" s="4" t="inlineStr">
        <is>
          <t>Inclus</t>
        </is>
      </c>
    </row>
    <row r="8">
      <c r="A8" s="5" t="inlineStr">
        <is>
          <t>Deux reciblages en concurrence (contrôle 6)</t>
        </is>
      </c>
      <c r="B8" s="5">
        <f>SUMIFS(Export!G5:G19,Export!B5:B19,"Reciblage abonnés page")</f>
        <v/>
      </c>
      <c r="C8" s="5" t="inlineStr">
        <is>
          <t>Plafond : dépense du second reciblage ; la part en double est à mesurer</t>
        </is>
      </c>
      <c r="D8" s="5" t="inlineStr">
        <is>
          <t>Plafond, inclus en partie ligne 2</t>
        </is>
      </c>
    </row>
    <row r="9">
      <c r="A9" s="4" t="inlineStr">
        <is>
          <t>Total des fuites sans double compte</t>
        </is>
      </c>
      <c r="B9" s="4">
        <f>B5+B6</f>
        <v/>
      </c>
      <c r="C9" s="4" t="inlineStr">
        <is>
          <t>Lignes 1 et 2</t>
        </is>
      </c>
      <c r="D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Sococé</t>
        </is>
      </c>
    </row>
    <row r="2">
      <c r="A2" s="2" t="inlineStr">
        <is>
          <t>Note de santé et sa grille</t>
        </is>
      </c>
    </row>
    <row r="4">
      <c r="A4" s="3" t="inlineStr">
        <is>
          <t>Bloc</t>
        </is>
      </c>
      <c r="B4" s="3" t="inlineStr">
        <is>
          <t>Poids (%)</t>
        </is>
      </c>
      <c r="C4" s="3" t="inlineStr">
        <is>
          <t>Contrôles</t>
        </is>
      </c>
      <c r="D4" s="3" t="inlineStr">
        <is>
          <t>Mesurés</t>
        </is>
      </c>
      <c r="E4" s="3" t="inlineStr">
        <is>
          <t>Tenus</t>
        </is>
      </c>
      <c r="F4" s="3" t="inlineStr">
        <is>
          <t>Note du bloc sur 10</t>
        </is>
      </c>
    </row>
    <row r="5">
      <c r="A5" s="4" t="inlineStr">
        <is>
          <t>Mesure</t>
        </is>
      </c>
      <c r="B5" s="4" t="n">
        <v>25</v>
      </c>
      <c r="C5" s="4" t="n">
        <v>3</v>
      </c>
      <c r="D5" s="4" t="n">
        <v>1</v>
      </c>
      <c r="E5" s="4" t="n">
        <v>0</v>
      </c>
      <c r="F5" s="4" t="inlineStr">
        <is>
          <t>pas de note</t>
        </is>
      </c>
    </row>
    <row r="6">
      <c r="A6" s="5" t="inlineStr">
        <is>
          <t>Budget</t>
        </is>
      </c>
      <c r="B6" s="5" t="n">
        <v>20</v>
      </c>
      <c r="C6" s="5" t="n">
        <v>3</v>
      </c>
      <c r="D6" s="5" t="n">
        <v>2</v>
      </c>
      <c r="E6" s="5" t="n">
        <v>0</v>
      </c>
      <c r="F6" s="5" t="n">
        <v>0</v>
      </c>
    </row>
    <row r="7">
      <c r="A7" s="4" t="inlineStr">
        <is>
          <t>Audiences</t>
        </is>
      </c>
      <c r="B7" s="4" t="n">
        <v>20</v>
      </c>
      <c r="C7" s="4" t="n">
        <v>4</v>
      </c>
      <c r="D7" s="4" t="n">
        <v>2</v>
      </c>
      <c r="E7" s="4" t="n">
        <v>0</v>
      </c>
      <c r="F7" s="4" t="n">
        <v>0</v>
      </c>
    </row>
    <row r="8">
      <c r="A8" s="5" t="inlineStr">
        <is>
          <t>Visuels</t>
        </is>
      </c>
      <c r="B8" s="5" t="n">
        <v>15</v>
      </c>
      <c r="C8" s="5" t="n">
        <v>3</v>
      </c>
      <c r="D8" s="5" t="n">
        <v>2</v>
      </c>
      <c r="E8" s="5" t="n">
        <v>0</v>
      </c>
      <c r="F8" s="5" t="n">
        <v>0</v>
      </c>
    </row>
    <row r="9">
      <c r="A9" s="4" t="inlineStr">
        <is>
          <t>Recherche</t>
        </is>
      </c>
      <c r="B9" s="4" t="n">
        <v>10</v>
      </c>
      <c r="C9" s="4" t="n">
        <v>3</v>
      </c>
      <c r="D9" s="4" t="n">
        <v>0</v>
      </c>
      <c r="E9" s="4" t="n">
        <v>0</v>
      </c>
      <c r="F9" s="4" t="inlineStr">
        <is>
          <t>pas de note</t>
        </is>
      </c>
    </row>
    <row r="10">
      <c r="A10" s="5" t="inlineStr">
        <is>
          <t>Conformité et concurrents</t>
        </is>
      </c>
      <c r="B10" s="5" t="n">
        <v>10</v>
      </c>
      <c r="C10" s="5" t="n">
        <v>3</v>
      </c>
      <c r="D10" s="5" t="n">
        <v>2</v>
      </c>
      <c r="E10" s="5" t="n">
        <v>1</v>
      </c>
      <c r="F10" s="5" t="n">
        <v>5</v>
      </c>
    </row>
    <row r="11">
      <c r="A11" s="4" t="inlineStr">
        <is>
          <t>Qualité des demandes</t>
        </is>
      </c>
      <c r="B11" s="4" t="n">
        <v>0</v>
      </c>
      <c r="C11" s="4" t="n">
        <v>1</v>
      </c>
      <c r="D11" s="4" t="n">
        <v>0</v>
      </c>
      <c r="E11" s="4" t="n">
        <v>0</v>
      </c>
      <c r="F11" s="4" t="inlineStr">
        <is>
          <t>pas de note</t>
        </is>
      </c>
    </row>
    <row r="12">
      <c r="A12" s="5" t="inlineStr">
        <is>
          <t>Note globale sur 10 (poids des blocs notés seulement)</t>
        </is>
      </c>
      <c r="B12" s="5" t="inlineStr"/>
      <c r="C12" s="5" t="inlineStr"/>
      <c r="D12" s="5" t="inlineStr"/>
      <c r="E12" s="5" t="inlineStr"/>
      <c r="F12" s="5" t="n">
        <v>0.8</v>
      </c>
    </row>
    <row r="14">
      <c r="A14" s="6" t="inlineStr">
        <is>
          <t>Un bloc ne reçoit pas de note si plus de la moitié de ses contrôles est non mesurée ou sans objet.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2026-10-20T22:44:44Z</dcterms:created>
  <dcterms:modified xmlns:dcterms="http://purl.org/dc/terms/" xmlns:xsi="http://www.w3.org/2001/XMLSchema-instance" xsi:type="dcterms:W3CDTF">2026-10-20T22:44:44Z</dcterms:modified>
</cp:coreProperties>
</file>